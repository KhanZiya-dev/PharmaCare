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1" sheetId="1" state="visible" r:id="rId1"/>
    <sheet name="Batch_2" sheetId="2" state="visible" r:id="rId2"/>
    <sheet name="Batch_3" sheetId="3" state="visible" r:id="rId3"/>
    <sheet name="Batch_4" sheetId="4" state="visible" r:id="rId4"/>
    <sheet name="Batch_5" sheetId="5" state="visible" r:id="rId5"/>
    <sheet name="Batch_6" sheetId="6" state="visible" r:id="rId6"/>
    <sheet name="Batch_7" sheetId="7" state="visible" r:id="rId7"/>
    <sheet name="Batch_8" sheetId="8" state="visible" r:id="rId8"/>
    <sheet name="Batch_9" sheetId="9" state="visible" r:id="rId9"/>
    <sheet name="Batch_10" sheetId="10" state="visible" r:id="rId10"/>
    <sheet name="Batch_11" sheetId="11" state="visible" r:id="rId11"/>
    <sheet name="Batch_12" sheetId="12" state="visible" r:id="rId12"/>
    <sheet name="Batch_13" sheetId="13" state="visible" r:id="rId13"/>
    <sheet name="Batch_14" sheetId="14" state="visible" r:id="rId14"/>
    <sheet name="Batch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1</v>
      </c>
      <c r="B2" t="inlineStr">
        <is>
          <t>A Kare Combipack</t>
        </is>
      </c>
      <c r="C2">
        <f>HYPERLINK("https://www.1mg.com/drugs/a-kare-combipack-153420", "Click Here")</f>
        <v/>
      </c>
      <c r="D2" t="inlineStr"/>
      <c r="E2" t="inlineStr">
        <is>
          <t>N/A</t>
        </is>
      </c>
      <c r="F2" t="inlineStr"/>
      <c r="G2" t="inlineStr">
        <is>
          <t>N/A</t>
        </is>
      </c>
      <c r="H2" t="inlineStr"/>
      <c r="I2" t="inlineStr"/>
    </row>
    <row r="3">
      <c r="A3" t="n">
        <v>2</v>
      </c>
      <c r="B3" t="inlineStr">
        <is>
          <t>A-Ret 0.05% Gel</t>
        </is>
      </c>
      <c r="C3">
        <f>HYPERLINK("https://www.1mg.com/drugs/a-ret-0.05-gel-280591", "Click Here")</f>
        <v/>
      </c>
      <c r="D3" t="inlineStr"/>
      <c r="E3">
        <f>HYPERLINK("https://pharmeasy.in/online-medicine-order/a-ret-0-05-gel-35265", "Click Here")</f>
        <v/>
      </c>
      <c r="F3" t="inlineStr"/>
      <c r="G3">
        <f>HYPERLINK("https://www.apollopharmacy.in/medicine/a-ret-0-05-w-w-gel-20g", "Click Here")</f>
        <v/>
      </c>
      <c r="H3" t="inlineStr"/>
      <c r="I3" t="inlineStr"/>
    </row>
    <row r="4">
      <c r="A4" t="n">
        <v>3</v>
      </c>
      <c r="B4" t="inlineStr">
        <is>
          <t>AB Phylline Capsule</t>
        </is>
      </c>
      <c r="C4">
        <f>HYPERLINK("https://www.1mg.com/drugs/ab-phylline-capsule-938551", "Click Here")</f>
        <v/>
      </c>
      <c r="D4" t="inlineStr"/>
      <c r="E4">
        <f>HYPERLINK("https://pharmeasy.in/online-medicine-order/ab-phylline-100mg-strip-of-15-capsules-4087325", "Click Here")</f>
        <v/>
      </c>
      <c r="F4" t="inlineStr"/>
      <c r="G4">
        <f>HYPERLINK("https://www.apollopharmacy.in/medicine/ab-phylline-n-tablet-10-s", "Click Here")</f>
        <v/>
      </c>
      <c r="H4" t="inlineStr"/>
      <c r="I4" t="inlineStr"/>
    </row>
    <row r="5">
      <c r="A5" t="n">
        <v>4</v>
      </c>
      <c r="B5" t="inlineStr">
        <is>
          <t>AB Phylline N Tablet</t>
        </is>
      </c>
      <c r="C5">
        <f>HYPERLINK("https://www.1mg.com/drugs/ab-phylline-sr-200-tablet-58272", "Click Here")</f>
        <v/>
      </c>
      <c r="D5" t="inlineStr"/>
      <c r="E5">
        <f>HYPERLINK("https://pharmeasy.in/online-medicine-order/ab-phylline-n-100-600mg-strip-of-10-tablets-177061", "Click Here")</f>
        <v/>
      </c>
      <c r="F5" t="inlineStr"/>
      <c r="G5">
        <f>HYPERLINK("https://www.apollopharmacy.in/medicine/ab-phylline-n-tablet-10-s", "Click Here")</f>
        <v/>
      </c>
      <c r="H5" t="inlineStr"/>
      <c r="I5" t="inlineStr"/>
    </row>
    <row r="6">
      <c r="A6" t="n">
        <v>5</v>
      </c>
      <c r="B6" t="inlineStr">
        <is>
          <t>AB Phylline SR 200 Tablet</t>
        </is>
      </c>
      <c r="C6">
        <f>HYPERLINK("https://www.1mg.com/drugs/ab-phylline-sr-200-tablet-58272", "Click Here")</f>
        <v/>
      </c>
      <c r="D6" t="inlineStr"/>
      <c r="E6">
        <f>HYPERLINK("https://pharmeasy.in/online-medicine-order/ab-phylline-sr-200mg-tablet-25579", "Click Here")</f>
        <v/>
      </c>
      <c r="F6" t="inlineStr"/>
      <c r="G6">
        <f>HYPERLINK("https://www.apollopharmacy.in/medicine/ab-phylline-sr-tablet", "Click Here")</f>
        <v/>
      </c>
      <c r="H6" t="inlineStr"/>
      <c r="I6" t="inlineStr"/>
    </row>
    <row r="7">
      <c r="A7" t="n">
        <v>6</v>
      </c>
      <c r="B7" t="inlineStr">
        <is>
          <t>AB Phylline Syrup</t>
        </is>
      </c>
      <c r="C7">
        <f>HYPERLINK("https://www.1mg.com/drugs/ab-phylline-syrup-150814", "Click Here")</f>
        <v/>
      </c>
      <c r="D7" t="inlineStr"/>
      <c r="E7">
        <f>HYPERLINK("https://pharmeasy.in/online-medicine-order/ab-phylline-syp-25504", "Click Here")</f>
        <v/>
      </c>
      <c r="F7" t="inlineStr"/>
      <c r="G7">
        <f>HYPERLINK("https://www.apollopharmacy.in/medicine/ab-phylline-syrup-100ml", "Click Here")</f>
        <v/>
      </c>
      <c r="H7" t="inlineStr"/>
      <c r="I7" t="inlineStr"/>
    </row>
    <row r="8">
      <c r="A8" t="n">
        <v>7</v>
      </c>
      <c r="B8" t="inlineStr">
        <is>
          <t>AB-Flo Capsule</t>
        </is>
      </c>
      <c r="C8">
        <f>HYPERLINK("https://www.1mg.com/drugs/ab-flo-capsule-946439", "Click Here")</f>
        <v/>
      </c>
      <c r="D8" t="inlineStr"/>
      <c r="E8">
        <f>HYPERLINK("https://pharmeasy.in/online-medicine-order/ab-flo-100mg-strip-of-15-capsules-4137723", "Click Here")</f>
        <v/>
      </c>
      <c r="F8" t="inlineStr"/>
      <c r="G8" t="inlineStr">
        <is>
          <t>N/A</t>
        </is>
      </c>
      <c r="H8" t="inlineStr"/>
      <c r="I8" t="inlineStr"/>
    </row>
    <row r="9">
      <c r="A9" t="n">
        <v>8</v>
      </c>
      <c r="B9" t="inlineStr">
        <is>
          <t>AB-Flo SR Tablet</t>
        </is>
      </c>
      <c r="C9">
        <f>HYPERLINK("https://www.1mg.com/drugs/ab-flo-sr-tablet-245165", "Click Here")</f>
        <v/>
      </c>
      <c r="D9" t="inlineStr"/>
      <c r="E9">
        <f>HYPERLINK("https://pharmeasy.in/online-medicine-order/ab-flo-sr-200mg-tablet-17212", "Click Here")</f>
        <v/>
      </c>
      <c r="F9" t="inlineStr"/>
      <c r="G9">
        <f>HYPERLINK("https://www.apollopharmacy.in/medicine/ab-flo-sr-tablet", "Click Here")</f>
        <v/>
      </c>
      <c r="H9" t="inlineStr"/>
      <c r="I9" t="inlineStr"/>
    </row>
    <row r="10">
      <c r="A10" t="n">
        <v>9</v>
      </c>
      <c r="B10" t="inlineStr">
        <is>
          <t>AB-Flo-N Tablet</t>
        </is>
      </c>
      <c r="C10">
        <f>HYPERLINK("https://www.1mg.com/drugs/ab-flo-n-tablet-338468", "Click Here")</f>
        <v/>
      </c>
      <c r="D10" t="inlineStr"/>
      <c r="E10">
        <f>HYPERLINK("https://pharmeasy.in/online-medicine-order/ab-flo-n-strip-of-10-tablets-16643", "Click Here")</f>
        <v/>
      </c>
      <c r="F10" t="inlineStr"/>
      <c r="G10">
        <f>HYPERLINK("https://www.apollopharmacy.in/medicine/ab-flo-n-tablet-10-s", "Click Here")</f>
        <v/>
      </c>
      <c r="H10" t="inlineStr"/>
      <c r="I10" t="inlineStr"/>
    </row>
    <row r="11">
      <c r="A11" t="n">
        <v>10</v>
      </c>
      <c r="B11" t="inlineStr">
        <is>
          <t>AB-Next Gel</t>
        </is>
      </c>
      <c r="C11" t="inlineStr">
        <is>
          <t>N/A</t>
        </is>
      </c>
      <c r="D11" t="inlineStr"/>
      <c r="E11">
        <f>HYPERLINK("https://pharmeasy.in/online-medicine-order/ab-next-tube-of-20gm-gel-942398", "Click Here")</f>
        <v/>
      </c>
      <c r="F11" t="inlineStr"/>
      <c r="G11">
        <f>HYPERLINK("https://www.apollopharmacy.in/medicine/ab-next-gel-20gm", "Click Here")</f>
        <v/>
      </c>
      <c r="H11" t="inlineStr"/>
      <c r="I11" t="inlineStr"/>
    </row>
    <row r="12">
      <c r="A12" t="n">
        <v>11</v>
      </c>
      <c r="B12" t="inlineStr">
        <is>
          <t>AB2 Kit</t>
        </is>
      </c>
      <c r="C12">
        <f>HYPERLINK("https://www.1mg.com/drugs/ab2-kit-534175", "Click Here")</f>
        <v/>
      </c>
      <c r="D12" t="inlineStr"/>
      <c r="E12" t="inlineStr">
        <is>
          <t>N/A</t>
        </is>
      </c>
      <c r="F12" t="inlineStr"/>
      <c r="G12" t="inlineStr">
        <is>
          <t>N/A</t>
        </is>
      </c>
      <c r="H12" t="inlineStr"/>
      <c r="I12" t="inlineStr"/>
    </row>
    <row r="13">
      <c r="A13" t="n">
        <v>12</v>
      </c>
      <c r="B13" t="inlineStr">
        <is>
          <t>Abd 400mg Tablet</t>
        </is>
      </c>
      <c r="C13">
        <f>HYPERLINK("https://www.1mg.com/drugs/abd-400mg-tablet-41390", "Click Here")</f>
        <v/>
      </c>
      <c r="D13" t="inlineStr"/>
      <c r="E13">
        <f>HYPERLINK("https://pharmeasy.in/online-medicine-order/abd-400mg-tablet-10946", "Click Here")</f>
        <v/>
      </c>
      <c r="F13" t="inlineStr"/>
      <c r="G13">
        <f>HYPERLINK("https://www.apollopharmacy.in/medicine/abd-400-tablet-1-s", "Click Here")</f>
        <v/>
      </c>
      <c r="H13" t="inlineStr"/>
      <c r="I13" t="inlineStr"/>
    </row>
    <row r="14">
      <c r="A14" t="n">
        <v>13</v>
      </c>
      <c r="B14" t="inlineStr">
        <is>
          <t>Abd Plus Tablet</t>
        </is>
      </c>
      <c r="C14">
        <f>HYPERLINK("https://www.1mg.com/drugs/abd-plus-tablet-229592", "Click Here")</f>
        <v/>
      </c>
      <c r="D14" t="inlineStr"/>
      <c r="E14">
        <f>HYPERLINK("https://pharmeasy.in/online-medicine-order/abd-plus-tablet-1-no-s-3730249", "Click Here")</f>
        <v/>
      </c>
      <c r="F14" t="inlineStr"/>
      <c r="G14">
        <f>HYPERLINK("https://www.apollopharmacy.in/medicine/abd-plus-tablet-1-s", "Click Here")</f>
        <v/>
      </c>
      <c r="H14" t="inlineStr"/>
      <c r="I14" t="inlineStr"/>
    </row>
    <row r="15">
      <c r="A15" t="n">
        <v>14</v>
      </c>
      <c r="B15" t="inlineStr">
        <is>
          <t>Abel 40 Tablet</t>
        </is>
      </c>
      <c r="C15">
        <f>HYPERLINK("https://www.1mg.com/drugs/abel-40-tablet-340763", "Click Here")</f>
        <v/>
      </c>
      <c r="D15" t="inlineStr"/>
      <c r="E15">
        <f>HYPERLINK("https://pharmeasy.in/online-medicine-order/abel-40mg-strip-of-10-tablets-16646", "Click Here")</f>
        <v/>
      </c>
      <c r="F15" t="inlineStr"/>
      <c r="G15">
        <f>HYPERLINK("https://www.apollopharmacy.in/medicine/abel-40mg-tablet-10-s", "Click Here")</f>
        <v/>
      </c>
      <c r="H15" t="inlineStr"/>
      <c r="I15" t="inlineStr"/>
    </row>
    <row r="16">
      <c r="A16" t="n">
        <v>15</v>
      </c>
      <c r="B16" t="inlineStr">
        <is>
          <t>Abevia 100 Capsule</t>
        </is>
      </c>
      <c r="C16">
        <f>HYPERLINK("https://www.1mg.com/drugs/abevia-100-capsule-1097371", "Click Here")</f>
        <v/>
      </c>
      <c r="D16" t="inlineStr"/>
      <c r="E16">
        <f>HYPERLINK("https://pharmeasy.in/online-medicine-order/abevia-100mg-strip-of-15-capsules-4385746", "Click Here")</f>
        <v/>
      </c>
      <c r="F16" t="inlineStr"/>
      <c r="G16">
        <f>HYPERLINK("https://www.apollopharmacy.in/medicine/abevia-100-cap-15-s", "Click Here")</f>
        <v/>
      </c>
      <c r="H16" t="inlineStr"/>
      <c r="I16" t="inlineStr"/>
    </row>
    <row r="17">
      <c r="A17" t="n">
        <v>16</v>
      </c>
      <c r="B17" t="inlineStr">
        <is>
          <t>Abevia-N Tablet</t>
        </is>
      </c>
      <c r="C17">
        <f>HYPERLINK("https://www.1mg.com/drugs/abevia-n-100mg-600mg-tablet-1061158", "Click Here")</f>
        <v/>
      </c>
      <c r="D17" t="inlineStr"/>
      <c r="E17">
        <f>HYPERLINK("https://pharmeasy.in/online-medicine-order/abevia-n-strip-of-15-tablets-4333062", "Click Here")</f>
        <v/>
      </c>
      <c r="F17" t="inlineStr"/>
      <c r="G17">
        <f>HYPERLINK("https://www.apollopharmacy.in/medicine/abevia-n-tablet-15-s", "Click Here")</f>
        <v/>
      </c>
      <c r="H17" t="inlineStr"/>
      <c r="I17" t="inlineStr"/>
    </row>
    <row r="18">
      <c r="A18" t="n">
        <v>17</v>
      </c>
      <c r="B18" t="inlineStr">
        <is>
          <t>Abiways Tablet</t>
        </is>
      </c>
      <c r="C18">
        <f>HYPERLINK("https://www.1mg.com/drugs/abiways-tablet-744058", "Click Here")</f>
        <v/>
      </c>
      <c r="D18" t="inlineStr"/>
      <c r="E18">
        <f>HYPERLINK("https://pharmeasy.in/online-medicine-order/abiways-strip-of-15-tablets-3670442", "Click Here")</f>
        <v/>
      </c>
      <c r="F18" t="inlineStr"/>
      <c r="G18">
        <f>HYPERLINK("https://www.apollopharmacy.in/medicine/abiways-tab-15-s", "Click Here")</f>
        <v/>
      </c>
      <c r="H18" t="inlineStr"/>
      <c r="I18" t="inlineStr"/>
    </row>
    <row r="19">
      <c r="A19" t="n">
        <v>18</v>
      </c>
      <c r="B19" t="inlineStr">
        <is>
          <t>Acamprol Tablet</t>
        </is>
      </c>
      <c r="C19">
        <f>HYPERLINK("https://www.1mg.com/drugs/acamprol-tablet-40350", "Click Here")</f>
        <v/>
      </c>
      <c r="D19" t="inlineStr"/>
      <c r="E19">
        <f>HYPERLINK("https://pharmeasy.in/online-medicine-order/acamprol-333mg-tablet-32699", "Click Here")</f>
        <v/>
      </c>
      <c r="F19" t="inlineStr"/>
      <c r="G19">
        <f>HYPERLINK("https://www.apollopharmacy.in/medicine/acamprol-tablet", "Click Here")</f>
        <v/>
      </c>
      <c r="H19" t="inlineStr"/>
      <c r="I19" t="inlineStr"/>
    </row>
    <row r="20">
      <c r="A20" t="n">
        <v>19</v>
      </c>
      <c r="B20" t="inlineStr">
        <is>
          <t>Acceclowoc-P Tablet</t>
        </is>
      </c>
      <c r="C20">
        <f>HYPERLINK("https://www.1mg.com/drugs/acceclowoc-p-tablet-157441", "Click Here")</f>
        <v/>
      </c>
      <c r="D20" t="inlineStr"/>
      <c r="E20">
        <f>HYPERLINK("https://pharmeasy.in/online-medicine-order/acceclowoc-p-tab-109636", "Click Here")</f>
        <v/>
      </c>
      <c r="F20" t="inlineStr"/>
      <c r="G20" t="inlineStr">
        <is>
          <t>N/A</t>
        </is>
      </c>
      <c r="H20" t="inlineStr"/>
      <c r="I20" t="inlineStr"/>
    </row>
    <row r="21">
      <c r="A21" t="n">
        <v>20</v>
      </c>
      <c r="B21" t="inlineStr">
        <is>
          <t>Acceclowoc-SP Tablet</t>
        </is>
      </c>
      <c r="C21">
        <f>HYPERLINK("https://www.1mg.com/drugs/acceclowoc-sp-tablet-678576", "Click Here")</f>
        <v/>
      </c>
      <c r="D21" t="inlineStr"/>
      <c r="E21">
        <f>HYPERLINK("https://pharmeasy.in/online-medicine-order/acceclowoc-sp-tablet-29466", "Click Here")</f>
        <v/>
      </c>
      <c r="F21" t="inlineStr"/>
      <c r="G21">
        <f>HYPERLINK("https://www.apollopharmacy.in/medicine/acceclowoc-sp-tablet", "Click Here")</f>
        <v/>
      </c>
      <c r="H21" t="inlineStr"/>
      <c r="I21" t="inlineStr"/>
    </row>
    <row r="22">
      <c r="A22" t="n">
        <v>21</v>
      </c>
      <c r="B22" t="inlineStr">
        <is>
          <t>Ace Proxyvon Tablet</t>
        </is>
      </c>
      <c r="C22">
        <f>HYPERLINK("https://www.1mg.com/drugs/ace-proxyvon-tablet-333029", "Click Here")</f>
        <v/>
      </c>
      <c r="D22" t="inlineStr"/>
      <c r="E22">
        <f>HYPERLINK("https://pharmeasy.in/online-medicine-order/ace-proxyvon-strip-of-10-tablets-29403", "Click Here")</f>
        <v/>
      </c>
      <c r="F22" t="inlineStr"/>
      <c r="G22">
        <f>HYPERLINK("https://www.apollopharmacy.in/medicine/ace-proxyvon-tablet-10-s", "Click Here")</f>
        <v/>
      </c>
      <c r="H22" t="inlineStr"/>
      <c r="I22" t="inlineStr"/>
    </row>
    <row r="23">
      <c r="A23" t="n">
        <v>22</v>
      </c>
      <c r="B23" t="inlineStr">
        <is>
          <t>Ace-Proxyvon CR Tablet</t>
        </is>
      </c>
      <c r="C23">
        <f>HYPERLINK("https://www.1mg.com/drugs/ace-proxyvon-cr-tablet-209318", "Click Here")</f>
        <v/>
      </c>
      <c r="D23" t="inlineStr"/>
      <c r="E23">
        <f>HYPERLINK("https://pharmeasy.in/online-medicine-order/ace-proxyvon-cr-strip-of-10-tablets-29433", "Click Here")</f>
        <v/>
      </c>
      <c r="F23" t="inlineStr"/>
      <c r="G23">
        <f>HYPERLINK("https://www.apollopharmacy.in/medicine/aceproxyvon-cr-tablet", "Click Here")</f>
        <v/>
      </c>
      <c r="H23" t="inlineStr"/>
      <c r="I23" t="inlineStr"/>
    </row>
    <row r="24">
      <c r="A24" t="n">
        <v>23</v>
      </c>
      <c r="B24" t="inlineStr">
        <is>
          <t>Aceclo Plus Tablet</t>
        </is>
      </c>
      <c r="C24">
        <f>HYPERLINK("https://www.1mg.com/drugs/aceclo-plus-tablet-68674", "Click Here")</f>
        <v/>
      </c>
      <c r="D24" t="inlineStr"/>
      <c r="E24">
        <f>HYPERLINK("https://pharmeasy.in/online-medicine-order/aceclo-plus-strip-of-15-tablets-32727", "Click Here")</f>
        <v/>
      </c>
      <c r="F24" t="inlineStr"/>
      <c r="G24" t="inlineStr">
        <is>
          <t>N/A</t>
        </is>
      </c>
      <c r="H24" t="inlineStr"/>
      <c r="I24" t="inlineStr"/>
    </row>
    <row r="25">
      <c r="A25" t="n">
        <v>24</v>
      </c>
      <c r="B25" t="inlineStr">
        <is>
          <t>Aceclo Spas Tablet</t>
        </is>
      </c>
      <c r="C25">
        <f>HYPERLINK("https://www.1mg.com/drugs/aceclo-spas-tablet-119985", "Click Here")</f>
        <v/>
      </c>
      <c r="D25" t="inlineStr"/>
      <c r="E25">
        <f>HYPERLINK("https://pharmeasy.in/online-medicine-order/aceclo-spas-tablet-3792", "Click Here")</f>
        <v/>
      </c>
      <c r="F25" t="inlineStr"/>
      <c r="G25">
        <f>HYPERLINK("https://www.apollopharmacy.in/medicine/aceclo-spas-tablet", "Click Here")</f>
        <v/>
      </c>
      <c r="H25" t="inlineStr"/>
      <c r="I25" t="inlineStr"/>
    </row>
    <row r="26">
      <c r="A26" t="n">
        <v>25</v>
      </c>
      <c r="B26" t="inlineStr">
        <is>
          <t>Aceclo SR Tablet</t>
        </is>
      </c>
      <c r="C26">
        <f>HYPERLINK("https://www.1mg.com/drugs/aceclo-sr-tablet-145630", "Click Here")</f>
        <v/>
      </c>
      <c r="D26" t="inlineStr"/>
      <c r="E26">
        <f>HYPERLINK("https://pharmeasy.in/online-medicine-order/aceclo-200mg-sr-tab-10-s-32729", "Click Here")</f>
        <v/>
      </c>
      <c r="F26" t="inlineStr"/>
      <c r="G26">
        <f>HYPERLINK("https://www.apollopharmacy.in/medicine/aceclo-sr-20mg-tablet", "Click Here")</f>
        <v/>
      </c>
      <c r="H26" t="inlineStr"/>
      <c r="I26" t="inlineStr"/>
    </row>
    <row r="27">
      <c r="A27" t="n">
        <v>26</v>
      </c>
      <c r="B27" t="inlineStr">
        <is>
          <t>Aceclo Tablet</t>
        </is>
      </c>
      <c r="C27">
        <f>HYPERLINK("https://www.1mg.com/drugs/aceclo-tablet-134307", "Click Here")</f>
        <v/>
      </c>
      <c r="D27" t="inlineStr"/>
      <c r="E27">
        <f>HYPERLINK("https://pharmeasy.in/online-medicine-order/zerodol-sp-tablet-14794", "Click Here")</f>
        <v/>
      </c>
      <c r="F27" t="inlineStr"/>
      <c r="G27" t="inlineStr">
        <is>
          <t>N/A</t>
        </is>
      </c>
      <c r="H27" t="inlineStr"/>
      <c r="I27" t="inlineStr"/>
    </row>
    <row r="28">
      <c r="A28" t="n">
        <v>27</v>
      </c>
      <c r="B28" t="inlineStr">
        <is>
          <t>Aceclo-MR Tablet</t>
        </is>
      </c>
      <c r="C28">
        <f>HYPERLINK("https://www.1mg.com/drugs/aceclo-mr-tablet-300312", "Click Here")</f>
        <v/>
      </c>
      <c r="D28" t="inlineStr"/>
      <c r="E28">
        <f>HYPERLINK("https://pharmeasy.in/online-medicine-order/aceclo-mr-tablet-32726", "Click Here")</f>
        <v/>
      </c>
      <c r="F28" t="inlineStr"/>
      <c r="G28">
        <f>HYPERLINK("https://www.apollopharmacy.in/medicine/aceclo-mr-tablet", "Click Here")</f>
        <v/>
      </c>
      <c r="H28" t="inlineStr"/>
      <c r="I28" t="inlineStr"/>
    </row>
    <row r="29">
      <c r="A29" t="n">
        <v>28</v>
      </c>
      <c r="B29" t="inlineStr">
        <is>
          <t>Aceflam P 100mg/325mg Tablet</t>
        </is>
      </c>
      <c r="C29">
        <f>HYPERLINK("https://www.1mg.com/drugs/aceova-p-100mg-325mg-tablet-674545", "Click Here")</f>
        <v/>
      </c>
      <c r="D29" t="inlineStr"/>
      <c r="E29">
        <f>HYPERLINK("https://pharmeasy.in/online-medicine-order/aceflam-p-tablet-28079", "Click Here")</f>
        <v/>
      </c>
      <c r="F29" t="inlineStr"/>
      <c r="G29" t="inlineStr">
        <is>
          <t>N/A</t>
        </is>
      </c>
      <c r="H29" t="inlineStr"/>
      <c r="I29" t="inlineStr"/>
    </row>
    <row r="30">
      <c r="A30" t="n">
        <v>29</v>
      </c>
      <c r="B30" t="inlineStr">
        <is>
          <t>Acemiz -MR Tablet</t>
        </is>
      </c>
      <c r="C30">
        <f>HYPERLINK("https://www.1mg.com/drugs/acemiz-mr-tablet-303645", "Click Here")</f>
        <v/>
      </c>
      <c r="D30" t="inlineStr"/>
      <c r="E30">
        <f>HYPERLINK("https://pharmeasy.in/online-medicine-order/acemiz-mr-tablet-16619", "Click Here")</f>
        <v/>
      </c>
      <c r="F30" t="inlineStr"/>
      <c r="G30">
        <f>HYPERLINK("https://www.apollopharmacy.in/medicine/acemiz-mr-tablet", "Click Here")</f>
        <v/>
      </c>
      <c r="H30" t="inlineStr"/>
      <c r="I30" t="inlineStr"/>
    </row>
    <row r="31">
      <c r="A31" t="n">
        <v>30</v>
      </c>
      <c r="B31" t="inlineStr">
        <is>
          <t>Acemiz Plus Tablet</t>
        </is>
      </c>
      <c r="C31">
        <f>HYPERLINK("https://www.1mg.com/drugs/acemiz-plus-tablet-141922", "Click Here")</f>
        <v/>
      </c>
      <c r="D31" t="inlineStr"/>
      <c r="E31">
        <f>HYPERLINK("https://pharmeasy.in/online-medicine-order/acemiz-plus-tablet-16617", "Click Here")</f>
        <v/>
      </c>
      <c r="F31" t="inlineStr"/>
      <c r="G31">
        <f>HYPERLINK("https://www.apollopharmacy.in/medicine/acemiz-plus-tablet", "Click Here")</f>
        <v/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31</v>
      </c>
      <c r="B2" t="inlineStr">
        <is>
          <t>Acemiz-S Tablet</t>
        </is>
      </c>
      <c r="C2">
        <f>HYPERLINK("https://www.1mg.com/drugs/acemiz-s-tablet-141365", "Click Here")</f>
        <v/>
      </c>
      <c r="D2" t="inlineStr"/>
      <c r="E2">
        <f>HYPERLINK("https://pharmeasy.in/online-medicine-order/acemiz-s-tablet-16618", "Click Here")</f>
        <v/>
      </c>
      <c r="F2" t="inlineStr"/>
      <c r="G2">
        <f>HYPERLINK("https://www.apollopharmacy.in/medicine/acemiz-s-tablet", "Click Here")</f>
        <v/>
      </c>
      <c r="H2" t="inlineStr"/>
      <c r="I2" t="inlineStr"/>
    </row>
    <row r="3">
      <c r="A3" t="n">
        <v>32</v>
      </c>
      <c r="B3" t="inlineStr">
        <is>
          <t>Acenac SP 100mg/325mg/15mg Tablet</t>
        </is>
      </c>
      <c r="C3">
        <f>HYPERLINK("https://www.1mg.com/drugs/acenac-sp-tablet-570460", "Click Here")</f>
        <v/>
      </c>
      <c r="D3" t="inlineStr"/>
      <c r="E3">
        <f>HYPERLINK("https://pharmeasy.in/online-medicine-order/acenac-sp-tablet-18996",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33</v>
      </c>
      <c r="B4" t="inlineStr">
        <is>
          <t>Acenac-MR Tablet</t>
        </is>
      </c>
      <c r="C4">
        <f>HYPERLINK("https://www.1mg.com/drugs/acenac-mr-tablet-168470", "Click Here")</f>
        <v/>
      </c>
      <c r="D4" t="inlineStr"/>
      <c r="E4">
        <f>HYPERLINK("https://pharmeasy.in/online-medicine-order/acenac-mr-4mg-tablet-18946", "Click Here")</f>
        <v/>
      </c>
      <c r="F4" t="inlineStr"/>
      <c r="G4" t="inlineStr">
        <is>
          <t>N/A</t>
        </is>
      </c>
      <c r="H4" t="inlineStr"/>
      <c r="I4" t="inlineStr"/>
    </row>
    <row r="5">
      <c r="A5" t="n">
        <v>34</v>
      </c>
      <c r="B5" t="inlineStr">
        <is>
          <t>Acenac-P  Tablet</t>
        </is>
      </c>
      <c r="C5">
        <f>HYPERLINK("https://www.1mg.com/drugs/acenac-p-tablet-767291", "Click Here")</f>
        <v/>
      </c>
      <c r="D5" t="inlineStr"/>
      <c r="E5">
        <f>HYPERLINK("https://pharmeasy.in/online-medicine-order/acenac-p-strip-of-15-tablets-3704641", "Click Here")</f>
        <v/>
      </c>
      <c r="F5" t="inlineStr"/>
      <c r="G5">
        <f>HYPERLINK("https://www.apollopharmacy.in/medicine/acenac-p-tab-15-s", "Click Here")</f>
        <v/>
      </c>
      <c r="H5" t="inlineStr"/>
      <c r="I5" t="inlineStr"/>
    </row>
    <row r="6">
      <c r="A6" t="n">
        <v>35</v>
      </c>
      <c r="B6" t="inlineStr">
        <is>
          <t>Acenext P 100mg/325mg Tablet</t>
        </is>
      </c>
      <c r="C6">
        <f>HYPERLINK("https://www.1mg.com/drugs/acenext-p-100mg-325mg-tablet-142715", "Click Here")</f>
        <v/>
      </c>
      <c r="D6" t="inlineStr"/>
      <c r="E6">
        <f>HYPERLINK("https://pharmeasy.in/online-medicine-order/acenext-p-tablet-110693", "Click Here")</f>
        <v/>
      </c>
      <c r="F6" t="inlineStr"/>
      <c r="G6">
        <f>HYPERLINK("https://www.apollopharmacy.in/medicine/acenext-p-tablet", "Click Here")</f>
        <v/>
      </c>
      <c r="H6" t="inlineStr"/>
      <c r="I6" t="inlineStr"/>
    </row>
    <row r="7">
      <c r="A7" t="n">
        <v>36</v>
      </c>
      <c r="B7" t="inlineStr">
        <is>
          <t>Acera-D Capsule SR</t>
        </is>
      </c>
      <c r="C7">
        <f>HYPERLINK("https://www.1mg.com/drugs/acera-d-capsule-sr-116801", "Click Here")</f>
        <v/>
      </c>
      <c r="D7" t="inlineStr"/>
      <c r="E7">
        <f>HYPERLINK("https://pharmeasy.in/online-medicine-order/acera-d-capsule-14849", "Click Here")</f>
        <v/>
      </c>
      <c r="F7" t="inlineStr"/>
      <c r="G7">
        <f>HYPERLINK("https://www.apollopharmacy.in/medicine/acera-d-capsule", "Click Here")</f>
        <v/>
      </c>
      <c r="H7" t="inlineStr"/>
      <c r="I7" t="inlineStr"/>
    </row>
    <row r="8">
      <c r="A8" t="n">
        <v>37</v>
      </c>
      <c r="B8" t="inlineStr">
        <is>
          <t>Aciclovir 400 Tablet</t>
        </is>
      </c>
      <c r="C8">
        <f>HYPERLINK("https://www.1mg.com/drugs/aciclovir-400-tablet-678845", "Click Here")</f>
        <v/>
      </c>
      <c r="D8" t="inlineStr"/>
      <c r="E8" t="inlineStr">
        <is>
          <t>N/A</t>
        </is>
      </c>
      <c r="F8" t="inlineStr"/>
      <c r="G8">
        <f>HYPERLINK("https://www.apollopharmacy.in/medicine/acivir-400-dt-tablet-10-s", "Click Here")</f>
        <v/>
      </c>
      <c r="H8" t="inlineStr"/>
      <c r="I8" t="inlineStr"/>
    </row>
    <row r="9">
      <c r="A9" t="n">
        <v>38</v>
      </c>
      <c r="B9" t="inlineStr">
        <is>
          <t>Acidose 500mg Tablet</t>
        </is>
      </c>
      <c r="C9">
        <f>HYPERLINK("https://www.1mg.com/drugs/acidose-500mg-tablet-396460", "Click Here")</f>
        <v/>
      </c>
      <c r="D9" t="inlineStr"/>
      <c r="E9">
        <f>HYPERLINK("https://pharmeasy.in/online-medicine-order/acidose-strip-of-10-tablets-23407", "Click Here")</f>
        <v/>
      </c>
      <c r="F9" t="inlineStr"/>
      <c r="G9">
        <f>HYPERLINK("https://www.apollopharmacy.in/otc/acidose-500mg-tablet", "Click Here")</f>
        <v/>
      </c>
      <c r="H9" t="inlineStr"/>
      <c r="I9" t="inlineStr"/>
    </row>
    <row r="10">
      <c r="A10" t="n">
        <v>39</v>
      </c>
      <c r="B10" t="inlineStr">
        <is>
          <t>Aciloc 150 Tablet</t>
        </is>
      </c>
      <c r="C10">
        <f>HYPERLINK("https://www.1mg.com/drugs/aciloc-150-tablet-134660", "Click Here")</f>
        <v/>
      </c>
      <c r="D10" t="inlineStr"/>
      <c r="E10">
        <f>HYPERLINK("https://pharmeasy.in/online-medicine-order/aciloc-150-plus-strip-of-30-tablets-4786225", "Click Here")</f>
        <v/>
      </c>
      <c r="F10" t="inlineStr"/>
      <c r="G10">
        <f>HYPERLINK("https://www.apollopharmacy.in/medicine/aciloc-150-tablet-30-s", "Click Here")</f>
        <v/>
      </c>
      <c r="H10" t="inlineStr"/>
      <c r="I10" t="inlineStr"/>
    </row>
    <row r="11">
      <c r="A11" t="n">
        <v>40</v>
      </c>
      <c r="B11" t="inlineStr">
        <is>
          <t>Aciloc 300 Tablet</t>
        </is>
      </c>
      <c r="C11">
        <f>HYPERLINK("https://www.1mg.com/drugs/aciloc-300-tablet-111048", "Click Here")</f>
        <v/>
      </c>
      <c r="D11" t="inlineStr"/>
      <c r="E11">
        <f>HYPERLINK("https://pharmeasy.in/online-medicine-order/aciloc-300-plus-strip-of-20-tablets-4786444", "Click Here")</f>
        <v/>
      </c>
      <c r="F11" t="inlineStr"/>
      <c r="G11">
        <f>HYPERLINK("https://www.apollopharmacy.in/medicine/aciloc-300mg-tablet", "Click Here")</f>
        <v/>
      </c>
      <c r="H11" t="inlineStr"/>
      <c r="I11" t="inlineStr"/>
    </row>
    <row r="12">
      <c r="A12" t="n">
        <v>41</v>
      </c>
      <c r="B12" t="inlineStr">
        <is>
          <t>Aciloc Injection</t>
        </is>
      </c>
      <c r="C12">
        <f>HYPERLINK("https://www.1mg.com/drugs/aciloc-injection-134598", "Click Here")</f>
        <v/>
      </c>
      <c r="D12" t="inlineStr"/>
      <c r="E12">
        <f>HYPERLINK("https://pharmeasy.in/online-medicine-order/aciloc-injection-32816", "Click Here")</f>
        <v/>
      </c>
      <c r="F12" t="inlineStr"/>
      <c r="G12">
        <f>HYPERLINK("https://www.apollopharmacy.in/medicine/aciloc-injection-2-ml", "Click Here")</f>
        <v/>
      </c>
      <c r="H12" t="inlineStr"/>
      <c r="I12" t="inlineStr"/>
    </row>
    <row r="13">
      <c r="A13" t="n">
        <v>42</v>
      </c>
      <c r="B13" t="inlineStr">
        <is>
          <t>Aciloc RD 20 Tablet</t>
        </is>
      </c>
      <c r="C13">
        <f>HYPERLINK("https://www.1mg.com/drugs/aciloc-rd-20-tablet-643918", "Click Here")</f>
        <v/>
      </c>
      <c r="D13" t="inlineStr"/>
      <c r="E13">
        <f>HYPERLINK("https://pharmeasy.in/online-medicine-order/aciloc-rd-20mg-strip-of-15-tablets-3068674", "Click Here")</f>
        <v/>
      </c>
      <c r="F13" t="inlineStr"/>
      <c r="G13">
        <f>HYPERLINK("https://www.apollopharmacy.in/medicine/aciloc-rd-20-new-tablet-15-s", "Click Here")</f>
        <v/>
      </c>
      <c r="H13" t="inlineStr"/>
      <c r="I13" t="inlineStr"/>
    </row>
    <row r="14">
      <c r="A14" t="n">
        <v>43</v>
      </c>
      <c r="B14" t="inlineStr">
        <is>
          <t>Acimol 100 mg/325 mg Tablet</t>
        </is>
      </c>
      <c r="C14">
        <f>HYPERLINK("https://www.1mg.com/drugs/acimol-100mg-325mg-tablet-259971", "Click Here")</f>
        <v/>
      </c>
      <c r="D14" t="inlineStr"/>
      <c r="E14" t="inlineStr">
        <is>
          <t>N/A</t>
        </is>
      </c>
      <c r="F14" t="inlineStr"/>
      <c r="G14" t="inlineStr">
        <is>
          <t>N/A</t>
        </is>
      </c>
      <c r="H14" t="inlineStr"/>
      <c r="I14" t="inlineStr"/>
    </row>
    <row r="15">
      <c r="A15" t="n">
        <v>44</v>
      </c>
      <c r="B15" t="inlineStr">
        <is>
          <t>Acimol MR 100mg/325mg/250mg Tablet</t>
        </is>
      </c>
      <c r="C15" t="inlineStr">
        <is>
          <t>N/A</t>
        </is>
      </c>
      <c r="D15" t="inlineStr"/>
      <c r="E15" t="inlineStr">
        <is>
          <t>N/A</t>
        </is>
      </c>
      <c r="F15" t="inlineStr"/>
      <c r="G15" t="inlineStr">
        <is>
          <t>N/A</t>
        </is>
      </c>
      <c r="H15" t="inlineStr"/>
      <c r="I15" t="inlineStr"/>
    </row>
    <row r="16">
      <c r="A16" t="n">
        <v>45</v>
      </c>
      <c r="B16" t="inlineStr">
        <is>
          <t>Acitrom 1 Tablet</t>
        </is>
      </c>
      <c r="C16">
        <f>HYPERLINK("https://www.1mg.com/drugs/acitrom-1-tablet-74710", "Click Here")</f>
        <v/>
      </c>
      <c r="D16" t="inlineStr"/>
      <c r="E16">
        <f>HYPERLINK("https://pharmeasy.in/online-medicine-order/acitrom-1mg-strip-of-30-tablets-32845", "Click Here")</f>
        <v/>
      </c>
      <c r="F16" t="inlineStr"/>
      <c r="G16" t="inlineStr">
        <is>
          <t>N/A</t>
        </is>
      </c>
      <c r="H16" t="inlineStr"/>
      <c r="I16" t="inlineStr"/>
    </row>
    <row r="17">
      <c r="A17" t="n">
        <v>46</v>
      </c>
      <c r="B17" t="inlineStr">
        <is>
          <t>Acitrom 2 Tablet</t>
        </is>
      </c>
      <c r="C17">
        <f>HYPERLINK("https://www.1mg.com/drugs/acitrom-2-tablet-113478", "Click Here")</f>
        <v/>
      </c>
      <c r="D17" t="inlineStr"/>
      <c r="E17">
        <f>HYPERLINK("https://pharmeasy.in/online-medicine-order/acitrom-2mg-strip-of-30-tablets-32844", "Click Here")</f>
        <v/>
      </c>
      <c r="F17" t="inlineStr"/>
      <c r="G17" t="inlineStr">
        <is>
          <t>N/A</t>
        </is>
      </c>
      <c r="H17" t="inlineStr"/>
      <c r="I17" t="inlineStr"/>
    </row>
    <row r="18">
      <c r="A18" t="n">
        <v>47</v>
      </c>
      <c r="B18" t="inlineStr">
        <is>
          <t>Acitrom 4 Tablet</t>
        </is>
      </c>
      <c r="C18">
        <f>HYPERLINK("https://www.1mg.com/drugs/acitrom-4-tablet-75874", "Click Here")</f>
        <v/>
      </c>
      <c r="D18" t="inlineStr"/>
      <c r="E18">
        <f>HYPERLINK("https://pharmeasy.in/online-medicine-order/acitrom-4mg-strip-of-30-tablets-32846", "Click Here")</f>
        <v/>
      </c>
      <c r="F18" t="inlineStr"/>
      <c r="G18">
        <f>HYPERLINK("https://www.apollopharmacy.in/medicine/acitrom-4mg-tablet", "Click Here")</f>
        <v/>
      </c>
      <c r="H18" t="inlineStr"/>
      <c r="I18" t="inlineStr"/>
    </row>
    <row r="19">
      <c r="A19" t="n">
        <v>48</v>
      </c>
      <c r="B19" t="inlineStr">
        <is>
          <t>Acivir 200 DT Tablet</t>
        </is>
      </c>
      <c r="C19">
        <f>HYPERLINK("https://www.1mg.com/drugs/acivir-400-dt-tablet-925071", "Click Here")</f>
        <v/>
      </c>
      <c r="D19" t="inlineStr"/>
      <c r="E19">
        <f>HYPERLINK("https://pharmeasy.in/online-medicine-order/acivir-dt-200mg-tablet-6501", "Click Here")</f>
        <v/>
      </c>
      <c r="F19" t="inlineStr"/>
      <c r="G19">
        <f>HYPERLINK("https://www.apollopharmacy.in/medicine/acivir-dt-200mg-tablet", "Click Here")</f>
        <v/>
      </c>
      <c r="H19" t="inlineStr"/>
      <c r="I19" t="inlineStr"/>
    </row>
    <row r="20">
      <c r="A20" t="n">
        <v>49</v>
      </c>
      <c r="B20" t="inlineStr">
        <is>
          <t>Acivir 400 DT Tablet</t>
        </is>
      </c>
      <c r="C20" t="inlineStr">
        <is>
          <t>N/A</t>
        </is>
      </c>
      <c r="D20" t="inlineStr"/>
      <c r="E20">
        <f>HYPERLINK("https://pharmeasy.in/online-medicine-order/acivir-dt-400mg-strip-of-10-tablets-4065816", "Click Here")</f>
        <v/>
      </c>
      <c r="F20" t="inlineStr"/>
      <c r="G20">
        <f>HYPERLINK("https://www.apollopharmacy.in/medicine/acivir-400-dt-tablet-10-s", "Click Here")</f>
        <v/>
      </c>
      <c r="H20" t="inlineStr"/>
      <c r="I20" t="inlineStr"/>
    </row>
    <row r="21">
      <c r="A21" t="n">
        <v>50</v>
      </c>
      <c r="B21" t="inlineStr">
        <is>
          <t>Acivir 500 Infusion</t>
        </is>
      </c>
      <c r="C21">
        <f>HYPERLINK("https://www.1mg.com/drugs/acivir-500-infusion-389518", "Click Here")</f>
        <v/>
      </c>
      <c r="D21" t="inlineStr"/>
      <c r="E21" t="inlineStr">
        <is>
          <t>N/A</t>
        </is>
      </c>
      <c r="F21" t="inlineStr"/>
      <c r="G21">
        <f>HYPERLINK("https://www.apollopharmacy.in/medicine/acivir-500mg-infusion", "Click Here")</f>
        <v/>
      </c>
      <c r="H21" t="inlineStr"/>
      <c r="I21" t="inlineStr"/>
    </row>
    <row r="22">
      <c r="A22" t="n">
        <v>51</v>
      </c>
      <c r="B22" t="inlineStr">
        <is>
          <t>Acivir 800 DT Tablet</t>
        </is>
      </c>
      <c r="C22" t="inlineStr">
        <is>
          <t>N/A</t>
        </is>
      </c>
      <c r="D22" t="inlineStr"/>
      <c r="E22">
        <f>HYPERLINK("https://pharmeasy.in/online-medicine-order/acivir-dt-800-tablet-10-no-s-4190717", "Click Here")</f>
        <v/>
      </c>
      <c r="F22" t="inlineStr"/>
      <c r="G22">
        <f>HYPERLINK("https://www.apollopharmacy.in/medicine/acivir-800-dt-tablet-10-s", "Click Here")</f>
        <v/>
      </c>
      <c r="H22" t="inlineStr"/>
      <c r="I22" t="inlineStr"/>
    </row>
    <row r="23">
      <c r="A23" t="n">
        <v>52</v>
      </c>
      <c r="B23" t="inlineStr">
        <is>
          <t>Acivir Cream</t>
        </is>
      </c>
      <c r="C23">
        <f>HYPERLINK("https://www.1mg.com/drugs/acivir-cream-580135", "Click Here")</f>
        <v/>
      </c>
      <c r="D23" t="inlineStr"/>
      <c r="E23">
        <f>HYPERLINK("https://pharmeasy.in/online-medicine-order/acivir-5-cream-10gm-231335", "Click Here")</f>
        <v/>
      </c>
      <c r="F23" t="inlineStr"/>
      <c r="G23">
        <f>HYPERLINK("https://www.apollopharmacy.in/medicine/acivir-5-w-w-cream-10gm", "Click Here")</f>
        <v/>
      </c>
      <c r="H23" t="inlineStr"/>
      <c r="I23" t="inlineStr"/>
    </row>
    <row r="24">
      <c r="A24" t="n">
        <v>53</v>
      </c>
      <c r="B24" t="inlineStr">
        <is>
          <t>Acivir Eye Ointment</t>
        </is>
      </c>
      <c r="C24">
        <f>HYPERLINK("https://www.1mg.com/drugs/acivir-eye-ointment-141572", "Click Here")</f>
        <v/>
      </c>
      <c r="D24" t="inlineStr"/>
      <c r="E24">
        <f>HYPERLINK("https://pharmeasy.in/online-medicine-order/acivir-3-eye-oint-32856", "Click Here")</f>
        <v/>
      </c>
      <c r="F24" t="inlineStr"/>
      <c r="G24">
        <f>HYPERLINK("https://www.apollopharmacy.in/medicine/acivir-eye-ointment-5gm", "Click Here")</f>
        <v/>
      </c>
      <c r="H24" t="inlineStr"/>
      <c r="I24" t="inlineStr"/>
    </row>
    <row r="25">
      <c r="A25" t="n">
        <v>54</v>
      </c>
      <c r="B25" t="inlineStr">
        <is>
          <t>Acivir IV Injection</t>
        </is>
      </c>
      <c r="C25">
        <f>HYPERLINK("https://www.1mg.com/drugs/acivir-iv-injection-291855", "Click Here")</f>
        <v/>
      </c>
      <c r="D25" t="inlineStr"/>
      <c r="E25">
        <f>HYPERLINK("https://pharmeasy.in/online-medicine-order/acivir-iv-injection-10ml-32857", "Click Here")</f>
        <v/>
      </c>
      <c r="F25" t="inlineStr"/>
      <c r="G25" t="inlineStr">
        <is>
          <t>N/A</t>
        </is>
      </c>
      <c r="H25" t="inlineStr"/>
      <c r="I25" t="inlineStr"/>
    </row>
    <row r="26">
      <c r="A26" t="n">
        <v>55</v>
      </c>
      <c r="B26" t="inlineStr">
        <is>
          <t>Aclind BP 2.5% Gel</t>
        </is>
      </c>
      <c r="C26" t="inlineStr">
        <is>
          <t>N/A</t>
        </is>
      </c>
      <c r="D26" t="inlineStr"/>
      <c r="E26">
        <f>HYPERLINK("https://pharmeasy.in/online-medicine-order/aclind-bp-2-5-gel-15gm-27969", "Click Here")</f>
        <v/>
      </c>
      <c r="F26" t="inlineStr"/>
      <c r="G26" t="inlineStr">
        <is>
          <t>N/A</t>
        </is>
      </c>
      <c r="H26" t="inlineStr"/>
      <c r="I26" t="inlineStr"/>
    </row>
    <row r="27">
      <c r="A27" t="n">
        <v>56</v>
      </c>
      <c r="B27" t="inlineStr">
        <is>
          <t>Acnedap Gel</t>
        </is>
      </c>
      <c r="C27">
        <f>HYPERLINK("https://www.1mg.com/drugs/acnedap-gel-159221", "Click Here")</f>
        <v/>
      </c>
      <c r="D27" t="inlineStr"/>
      <c r="E27">
        <f>HYPERLINK("https://pharmeasy.in/online-medicine-order/acnedap-5-gel-15gm-6822", "Click Here")</f>
        <v/>
      </c>
      <c r="F27" t="inlineStr"/>
      <c r="G27">
        <f>HYPERLINK("https://www.apollopharmacy.in/medicine/acnedap-gel-15gm", "Click Here")</f>
        <v/>
      </c>
      <c r="H27" t="inlineStr"/>
      <c r="I27" t="inlineStr"/>
    </row>
    <row r="28">
      <c r="A28" t="n">
        <v>57</v>
      </c>
      <c r="B28" t="inlineStr">
        <is>
          <t>Acnesol 1% solution</t>
        </is>
      </c>
      <c r="C28">
        <f>HYPERLINK("https://www.1mg.com/drugs/acnesol-1-solution-57218", "Click Here")</f>
        <v/>
      </c>
      <c r="D28" t="inlineStr"/>
      <c r="E28">
        <f>HYPERLINK("https://pharmeasy.in/online-medicine-order/acnesol-1-solution-25ml-73092", "Click Here")</f>
        <v/>
      </c>
      <c r="F28" t="inlineStr"/>
      <c r="G28" t="inlineStr">
        <is>
          <t>N/A</t>
        </is>
      </c>
      <c r="H28" t="inlineStr"/>
      <c r="I28" t="inlineStr"/>
    </row>
    <row r="29">
      <c r="A29" t="n">
        <v>58</v>
      </c>
      <c r="B29" t="inlineStr">
        <is>
          <t>Acnesol A Nano Gel</t>
        </is>
      </c>
      <c r="C29">
        <f>HYPERLINK("https://www.1mg.com/drugs/acnesol-a-nano-gel-142805", "Click Here")</f>
        <v/>
      </c>
      <c r="D29" t="inlineStr"/>
      <c r="E29">
        <f>HYPERLINK("https://pharmeasy.in/online-medicine-order/acnesol-a-nano-gel-26313", "Click Here")</f>
        <v/>
      </c>
      <c r="F29" t="inlineStr"/>
      <c r="G29" t="inlineStr">
        <is>
          <t>N/A</t>
        </is>
      </c>
      <c r="H29" t="inlineStr"/>
      <c r="I29" t="inlineStr"/>
    </row>
    <row r="30">
      <c r="A30" t="n">
        <v>59</v>
      </c>
      <c r="B30" t="inlineStr">
        <is>
          <t>Acnesol Gel</t>
        </is>
      </c>
      <c r="C30">
        <f>HYPERLINK("https://www.1mg.com/drugs/acnesol-gel-153415", "Click Here")</f>
        <v/>
      </c>
      <c r="D30" t="inlineStr"/>
      <c r="E30">
        <f>HYPERLINK("https://pharmeasy.in/online-medicine-order/acnesol-nc-gel-20gm-208261", "Click Here")</f>
        <v/>
      </c>
      <c r="F30" t="inlineStr"/>
      <c r="G30">
        <f>HYPERLINK("https://www.apollopharmacy.in/medicine/acnesol-gel-20gm", "Click Here")</f>
        <v/>
      </c>
      <c r="H30" t="inlineStr"/>
      <c r="I30" t="inlineStr"/>
    </row>
    <row r="31">
      <c r="A31" t="n">
        <v>60</v>
      </c>
      <c r="B31" t="inlineStr">
        <is>
          <t>Acnovate Gel</t>
        </is>
      </c>
      <c r="C31">
        <f>HYPERLINK("https://www.1mg.com/drugs/acnovate-gel-166965", "Click Here")</f>
        <v/>
      </c>
      <c r="D31" t="inlineStr"/>
      <c r="E31">
        <f>HYPERLINK("https://pharmeasy.in/online-medicine-order/acnovate-gel-3337", "Click Here")</f>
        <v/>
      </c>
      <c r="F31" t="inlineStr"/>
      <c r="G31">
        <f>HYPERLINK("https://www.apollopharmacy.in/medicine/acnovate-gel-15gm", "Click Here")</f>
        <v/>
      </c>
      <c r="H31" t="inlineStr"/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61</v>
      </c>
      <c r="B2" t="inlineStr">
        <is>
          <t>Acogut 300 ER Tablet</t>
        </is>
      </c>
      <c r="C2">
        <f>HYPERLINK("https://www.1mg.com/drugs/acogut-300-er-tablet-636217", "Click Here")</f>
        <v/>
      </c>
      <c r="D2" t="inlineStr"/>
      <c r="E2" t="inlineStr">
        <is>
          <t>N/A</t>
        </is>
      </c>
      <c r="F2" t="inlineStr"/>
      <c r="G2">
        <f>HYPERLINK("https://www.apollopharmacy.in/medicine/acogut-300-er-tablet-10-s", "Click Here")</f>
        <v/>
      </c>
      <c r="H2" t="inlineStr"/>
      <c r="I2" t="inlineStr"/>
    </row>
    <row r="3">
      <c r="A3" t="n">
        <v>62</v>
      </c>
      <c r="B3" t="inlineStr">
        <is>
          <t>Acogut Tablet</t>
        </is>
      </c>
      <c r="C3">
        <f>HYPERLINK("https://www.1mg.com/drugs/acogut-tablet-489087", "Click Here")</f>
        <v/>
      </c>
      <c r="D3" t="inlineStr"/>
      <c r="E3">
        <f>HYPERLINK("https://pharmeasy.in/online-medicine-order/acogut-100mg-tab-15-s-211620",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63</v>
      </c>
      <c r="B4" t="inlineStr">
        <is>
          <t>Acolate Plus Tablet</t>
        </is>
      </c>
      <c r="C4">
        <f>HYPERLINK("https://www.1mg.com/drugs/acolate-plus-tablet-336277", "Click Here")</f>
        <v/>
      </c>
      <c r="D4" t="inlineStr"/>
      <c r="E4">
        <f>HYPERLINK("https://pharmeasy.in/online-medicine-order/doxinate-plus-strip-of-30-tablets-44379", "Click Here")</f>
        <v/>
      </c>
      <c r="F4" t="inlineStr"/>
      <c r="G4" t="inlineStr">
        <is>
          <t>N/A</t>
        </is>
      </c>
      <c r="H4" t="inlineStr"/>
      <c r="I4" t="inlineStr"/>
    </row>
    <row r="5">
      <c r="A5" t="n">
        <v>64</v>
      </c>
      <c r="B5" t="inlineStr">
        <is>
          <t>Acrotac 25mg Capsule</t>
        </is>
      </c>
      <c r="C5">
        <f>HYPERLINK("https://www.1mg.com/drugs/acrotac-25mg-capsule-1124666", "Click Here")</f>
        <v/>
      </c>
      <c r="D5" t="inlineStr"/>
      <c r="E5">
        <f>HYPERLINK("https://pharmeasy.in/online-medicine-order/acrotac-25mg-strip-of-10-capsules-32936", "Click Here")</f>
        <v/>
      </c>
      <c r="F5" t="inlineStr"/>
      <c r="G5">
        <f>HYPERLINK("https://www.apollopharmacy.in/medicine/acrotac-25mg-capsule", "Click Here")</f>
        <v/>
      </c>
      <c r="H5" t="inlineStr"/>
      <c r="I5" t="inlineStr"/>
    </row>
    <row r="6">
      <c r="A6" t="n">
        <v>65</v>
      </c>
      <c r="B6" t="inlineStr">
        <is>
          <t>Actapro Tablet</t>
        </is>
      </c>
      <c r="C6">
        <f>HYPERLINK("https://www.1mg.com/drugs/actapro-tablet-489109", "Click Here")</f>
        <v/>
      </c>
      <c r="D6" t="inlineStr"/>
      <c r="E6">
        <f>HYPERLINK("https://pharmeasy.in/online-medicine-order/actapro-100mg-tab-15-s-215620", "Click Here")</f>
        <v/>
      </c>
      <c r="F6" t="inlineStr"/>
      <c r="G6">
        <f>HYPERLINK("https://www.apollopharmacy.in/medicine/actapro-100mg-tablet-15-s", "Click Here")</f>
        <v/>
      </c>
      <c r="H6" t="inlineStr"/>
      <c r="I6" t="inlineStr"/>
    </row>
    <row r="7">
      <c r="A7" t="n">
        <v>66</v>
      </c>
      <c r="B7" t="inlineStr">
        <is>
          <t>Actibile 300 Tablet</t>
        </is>
      </c>
      <c r="C7">
        <f>HYPERLINK("https://www.1mg.com/drugs/actibile-300-tablet-121415", "Click Here")</f>
        <v/>
      </c>
      <c r="D7" t="inlineStr"/>
      <c r="E7" t="inlineStr">
        <is>
          <t>N/A</t>
        </is>
      </c>
      <c r="F7" t="inlineStr"/>
      <c r="G7">
        <f>HYPERLINK("https://www.apollopharmacy.in/medicine/actibile-300mg-tablet", "Click Here")</f>
        <v/>
      </c>
      <c r="H7" t="inlineStr"/>
      <c r="I7" t="inlineStr"/>
    </row>
    <row r="8">
      <c r="A8" t="n">
        <v>67</v>
      </c>
      <c r="B8" t="inlineStr">
        <is>
          <t>Actilyse 50mg Injection</t>
        </is>
      </c>
      <c r="C8">
        <f>HYPERLINK("https://www.1mg.com/drugs/actilyse-50mg-injection-225082", "Click Here")</f>
        <v/>
      </c>
      <c r="D8" t="inlineStr"/>
      <c r="E8">
        <f>HYPERLINK("https://pharmeasy.in/online-medicine-order/actilyse-50mg-inj-50ml-32978", "Click Here")</f>
        <v/>
      </c>
      <c r="F8" t="inlineStr"/>
      <c r="G8">
        <f>HYPERLINK("https://www.apollopharmacy.in/medicine/actilyse-injection-50mg", "Click Here")</f>
        <v/>
      </c>
      <c r="H8" t="inlineStr"/>
      <c r="I8" t="inlineStr"/>
    </row>
    <row r="9">
      <c r="A9" t="n">
        <v>68</v>
      </c>
      <c r="B9" t="inlineStr">
        <is>
          <t>Acton-OR Tablet SR</t>
        </is>
      </c>
      <c r="C9">
        <f>HYPERLINK("https://www.1mg.com/drugs/acton-or-tablet-sr-255245", "Click Here")</f>
        <v/>
      </c>
      <c r="D9" t="inlineStr"/>
      <c r="E9">
        <f>HYPERLINK("https://pharmeasy.in/online-medicine-order/acton-or-1gm-strip-of-10-tablets-3301", "Click Here")</f>
        <v/>
      </c>
      <c r="F9" t="inlineStr"/>
      <c r="G9">
        <f>HYPERLINK("https://www.apollopharmacy.in/medicine/acton-or-tablet", "Click Here")</f>
        <v/>
      </c>
      <c r="H9" t="inlineStr"/>
      <c r="I9" t="inlineStr"/>
    </row>
    <row r="10">
      <c r="A10" t="n">
        <v>69</v>
      </c>
      <c r="B10" t="inlineStr">
        <is>
          <t>Actrapid 100 IU/ml Flexpen</t>
        </is>
      </c>
      <c r="C10" t="inlineStr">
        <is>
          <t>N/A</t>
        </is>
      </c>
      <c r="D10" t="inlineStr"/>
      <c r="E10" t="inlineStr">
        <is>
          <t>N/A</t>
        </is>
      </c>
      <c r="F10" t="inlineStr"/>
      <c r="G10" t="inlineStr">
        <is>
          <t>N/A</t>
        </is>
      </c>
      <c r="H10" t="inlineStr"/>
      <c r="I10" t="inlineStr"/>
    </row>
    <row r="11">
      <c r="A11" t="n">
        <v>70</v>
      </c>
      <c r="B11" t="inlineStr">
        <is>
          <t>Actrapid HM 100IU/ml Penfill</t>
        </is>
      </c>
      <c r="C11" t="inlineStr">
        <is>
          <t>N/A</t>
        </is>
      </c>
      <c r="D11" t="inlineStr"/>
      <c r="E11" t="inlineStr">
        <is>
          <t>N/A</t>
        </is>
      </c>
      <c r="F11" t="inlineStr"/>
      <c r="G11" t="inlineStr">
        <is>
          <t>N/A</t>
        </is>
      </c>
      <c r="H11" t="inlineStr"/>
      <c r="I11" t="inlineStr"/>
    </row>
    <row r="12">
      <c r="A12" t="n">
        <v>71</v>
      </c>
      <c r="B12" t="inlineStr">
        <is>
          <t>Acular LS Ophthalmic Solution</t>
        </is>
      </c>
      <c r="C12">
        <f>HYPERLINK("https://www.1mg.com/drugs/acular-ls-ophthalmic-solution-182352", "Click Here")</f>
        <v/>
      </c>
      <c r="D12" t="inlineStr"/>
      <c r="E12">
        <f>HYPERLINK("https://pharmeasy.in/online-medicine-order/acular-ls-eye-drops-2973", "Click Here")</f>
        <v/>
      </c>
      <c r="F12" t="inlineStr"/>
      <c r="G12">
        <f>HYPERLINK("https://www.apollopharmacy.in/medicine/acular-ls-drops-5ml", "Click Here")</f>
        <v/>
      </c>
      <c r="H12" t="inlineStr"/>
      <c r="I12" t="inlineStr"/>
    </row>
    <row r="13">
      <c r="A13" t="n">
        <v>72</v>
      </c>
      <c r="B13" t="inlineStr">
        <is>
          <t>Aculip H 12.5 mg/5 mg Tablet</t>
        </is>
      </c>
      <c r="C13">
        <f>HYPERLINK("https://www.1mg.com/drugs/aculip-h-12.5-mg-5-mg-tablet-151274", "Click Here")</f>
        <v/>
      </c>
      <c r="D13" t="inlineStr"/>
      <c r="E13">
        <f>HYPERLINK("https://pharmeasy.in/online-medicine-order/cresar-h-40mg-12-5mg-tab-15-s-192640", "Click Here")</f>
        <v/>
      </c>
      <c r="F13" t="inlineStr"/>
      <c r="G13">
        <f>HYPERLINK("https://www.apollopharmacy.in/medicine/aculip-h-tablet", "Click Here")</f>
        <v/>
      </c>
      <c r="H13" t="inlineStr"/>
      <c r="I13" t="inlineStr"/>
    </row>
    <row r="14">
      <c r="A14" t="n">
        <v>73</v>
      </c>
      <c r="B14" t="inlineStr">
        <is>
          <t>Acupat Ophthalmic Solution</t>
        </is>
      </c>
      <c r="C14">
        <f>HYPERLINK("https://www.1mg.com/drugs/acupat-ophthalmic-solution-62141", "Click Here")</f>
        <v/>
      </c>
      <c r="D14" t="inlineStr"/>
      <c r="E14" t="inlineStr">
        <is>
          <t>N/A</t>
        </is>
      </c>
      <c r="F14" t="inlineStr"/>
      <c r="G14" t="inlineStr">
        <is>
          <t>N/A</t>
        </is>
      </c>
      <c r="H14" t="inlineStr"/>
      <c r="I14" t="inlineStr"/>
    </row>
    <row r="15">
      <c r="A15" t="n">
        <v>74</v>
      </c>
      <c r="B15" t="inlineStr">
        <is>
          <t>Acutret 10 Capsule</t>
        </is>
      </c>
      <c r="C15">
        <f>HYPERLINK("https://www.1mg.com/drugs/acutret-10-capsule-33053", "Click Here")</f>
        <v/>
      </c>
      <c r="D15" t="inlineStr"/>
      <c r="E15" t="inlineStr">
        <is>
          <t>N/A</t>
        </is>
      </c>
      <c r="F15" t="inlineStr"/>
      <c r="G15" t="inlineStr">
        <is>
          <t>N/A</t>
        </is>
      </c>
      <c r="H15" t="inlineStr"/>
      <c r="I15" t="inlineStr"/>
    </row>
    <row r="16">
      <c r="A16" t="n">
        <v>75</v>
      </c>
      <c r="B16" t="inlineStr">
        <is>
          <t>Acuvert Tablet</t>
        </is>
      </c>
      <c r="C16" t="inlineStr">
        <is>
          <t>N/A</t>
        </is>
      </c>
      <c r="D16" t="inlineStr"/>
      <c r="E16">
        <f>HYPERLINK("https://pharmeasy.in/online-medicine-order/acuvert-5mg-strip-of-15-tablets-4183894", "Click Here")</f>
        <v/>
      </c>
      <c r="F16" t="inlineStr"/>
      <c r="G16" t="inlineStr">
        <is>
          <t>N/A</t>
        </is>
      </c>
      <c r="H16" t="inlineStr"/>
      <c r="I16" t="inlineStr"/>
    </row>
    <row r="17">
      <c r="A17" t="n">
        <v>76</v>
      </c>
      <c r="B17" t="inlineStr">
        <is>
          <t>Acuvin Tablet</t>
        </is>
      </c>
      <c r="C17">
        <f>HYPERLINK("https://www.1mg.com/drugs/acuvin-tablet-369140", "Click Here")</f>
        <v/>
      </c>
      <c r="D17" t="inlineStr"/>
      <c r="E17">
        <f>HYPERLINK("https://pharmeasy.in/online-medicine-order/acuvin-strip-of-10-tablets-33032", "Click Here")</f>
        <v/>
      </c>
      <c r="F17" t="inlineStr"/>
      <c r="G17">
        <f>HYPERLINK("https://www.apollopharmacy.in/medicine/acuvin-tablet-15-s", "Click Here")</f>
        <v/>
      </c>
      <c r="H17" t="inlineStr"/>
      <c r="I17" t="inlineStr"/>
    </row>
    <row r="18">
      <c r="A18" t="n">
        <v>77</v>
      </c>
      <c r="B18" t="inlineStr">
        <is>
          <t>Adaferin Gel</t>
        </is>
      </c>
      <c r="C18">
        <f>HYPERLINK("https://www.1mg.com/drugs/adaferin-gel-123250", "Click Here")</f>
        <v/>
      </c>
      <c r="D18" t="inlineStr"/>
      <c r="E18">
        <f>HYPERLINK("https://pharmeasy.in/online-medicine-order/adaferin-0-1-gel-15gm-33042", "Click Here")</f>
        <v/>
      </c>
      <c r="F18" t="inlineStr"/>
      <c r="G18">
        <f>HYPERLINK("https://www.apollopharmacy.in/medicine/adaferin-1-gel-15gm", "Click Here")</f>
        <v/>
      </c>
      <c r="H18" t="inlineStr"/>
      <c r="I18" t="inlineStr"/>
    </row>
    <row r="19">
      <c r="A19" t="n">
        <v>78</v>
      </c>
      <c r="B19" t="inlineStr">
        <is>
          <t>Adalene Nanogel Gel</t>
        </is>
      </c>
      <c r="C19">
        <f>HYPERLINK("https://www.1mg.com/drugs/adalene-nanogel-gel-134348", "Click Here")</f>
        <v/>
      </c>
      <c r="D19" t="inlineStr"/>
      <c r="E19" t="inlineStr">
        <is>
          <t>N/A</t>
        </is>
      </c>
      <c r="F19" t="inlineStr"/>
      <c r="G19" t="inlineStr">
        <is>
          <t>N/A</t>
        </is>
      </c>
      <c r="H19" t="inlineStr"/>
      <c r="I19" t="inlineStr"/>
    </row>
    <row r="20">
      <c r="A20" t="n">
        <v>79</v>
      </c>
      <c r="B20" t="inlineStr">
        <is>
          <t>Adaple-C Gel</t>
        </is>
      </c>
      <c r="C20" t="inlineStr">
        <is>
          <t>N/A</t>
        </is>
      </c>
      <c r="D20" t="inlineStr"/>
      <c r="E20" t="inlineStr">
        <is>
          <t>N/A</t>
        </is>
      </c>
      <c r="F20" t="inlineStr"/>
      <c r="G20">
        <f>HYPERLINK("https://www.apollopharmacy.in/medicine/adaple-c-gel-5gm", "Click Here")</f>
        <v/>
      </c>
      <c r="H20" t="inlineStr"/>
      <c r="I20" t="inlineStr"/>
    </row>
    <row r="21">
      <c r="A21" t="n">
        <v>80</v>
      </c>
      <c r="B21" t="inlineStr">
        <is>
          <t>Add Tears Lubricant Eye Drop</t>
        </is>
      </c>
      <c r="C21">
        <f>HYPERLINK("https://www.1mg.com/drugs/just-tears-eye-drop-149967", "Click Here")</f>
        <v/>
      </c>
      <c r="D21" t="inlineStr"/>
      <c r="E21">
        <f>HYPERLINK("https://pharmeasy.in/online-medicine-order/add-tears-eye-drops-10ml-33061", "Click Here")</f>
        <v/>
      </c>
      <c r="F21" t="inlineStr"/>
      <c r="G21">
        <f>HYPERLINK("https://www.apollopharmacy.in/medicine/add-tears-eye-drops-10ml", "Click Here")</f>
        <v/>
      </c>
      <c r="H21" t="inlineStr"/>
      <c r="I21" t="inlineStr"/>
    </row>
    <row r="22">
      <c r="A22" t="n">
        <v>81</v>
      </c>
      <c r="B22" t="inlineStr">
        <is>
          <t>Addna Tablet</t>
        </is>
      </c>
      <c r="C22" t="inlineStr">
        <is>
          <t>N/A</t>
        </is>
      </c>
      <c r="D22" t="inlineStr"/>
      <c r="E22">
        <f>HYPERLINK("https://pharmeasy.in/online-medicine-order/addna-strip-of-10-tablets-3120031", "Click Here")</f>
        <v/>
      </c>
      <c r="F22" t="inlineStr"/>
      <c r="G22">
        <f>HYPERLINK("https://www.apollopharmacy.in/medicine/addna-1g-tablet-10-s", "Click Here")</f>
        <v/>
      </c>
      <c r="H22" t="inlineStr"/>
      <c r="I22" t="inlineStr"/>
    </row>
    <row r="23">
      <c r="A23" t="n">
        <v>82</v>
      </c>
      <c r="B23" t="inlineStr">
        <is>
          <t>Addnok 0.2mg Tablet</t>
        </is>
      </c>
      <c r="C23" t="inlineStr">
        <is>
          <t>N/A</t>
        </is>
      </c>
      <c r="D23" t="inlineStr"/>
      <c r="E23" t="inlineStr">
        <is>
          <t>N/A</t>
        </is>
      </c>
      <c r="F23" t="inlineStr"/>
      <c r="G23" t="inlineStr">
        <is>
          <t>N/A</t>
        </is>
      </c>
      <c r="H23" t="inlineStr"/>
      <c r="I23" t="inlineStr"/>
    </row>
    <row r="24">
      <c r="A24" t="n">
        <v>83</v>
      </c>
      <c r="B24" t="inlineStr">
        <is>
          <t>Addwize 10mg Tablet</t>
        </is>
      </c>
      <c r="C24">
        <f>HYPERLINK("https://www.1mg.com/drugs/addwize-10mg-tablet-18301", "Click Here")</f>
        <v/>
      </c>
      <c r="D24" t="inlineStr"/>
      <c r="E24" t="inlineStr">
        <is>
          <t>N/A</t>
        </is>
      </c>
      <c r="F24" t="inlineStr"/>
      <c r="G24" t="inlineStr">
        <is>
          <t>N/A</t>
        </is>
      </c>
      <c r="H24" t="inlineStr"/>
      <c r="I24" t="inlineStr"/>
    </row>
    <row r="25">
      <c r="A25" t="n">
        <v>84</v>
      </c>
      <c r="B25" t="inlineStr">
        <is>
          <t>Adenosine 3mg Injection</t>
        </is>
      </c>
      <c r="C25" t="inlineStr">
        <is>
          <t>N/A</t>
        </is>
      </c>
      <c r="D25" t="inlineStr"/>
      <c r="E25" t="inlineStr">
        <is>
          <t>N/A</t>
        </is>
      </c>
      <c r="F25" t="inlineStr"/>
      <c r="G25" t="inlineStr">
        <is>
          <t>N/A</t>
        </is>
      </c>
      <c r="H25" t="inlineStr"/>
      <c r="I25" t="inlineStr"/>
    </row>
    <row r="26">
      <c r="A26" t="n">
        <v>85</v>
      </c>
      <c r="B26" t="inlineStr">
        <is>
          <t>Adilip 135 Tablet DR</t>
        </is>
      </c>
      <c r="C26">
        <f>HYPERLINK("https://www.1mg.com/drugs/adilip-135-tablet-dr-119996", "Click Here")</f>
        <v/>
      </c>
      <c r="D26" t="inlineStr"/>
      <c r="E26">
        <f>HYPERLINK("https://pharmeasy.in/online-medicine-order/adilip-135mg-tablet-14191", "Click Here")</f>
        <v/>
      </c>
      <c r="F26" t="inlineStr"/>
      <c r="G26">
        <f>HYPERLINK("https://www.apollopharmacy.in/medicine/adilip-135mg-tablet", "Click Here")</f>
        <v/>
      </c>
      <c r="H26" t="inlineStr"/>
      <c r="I26" t="inlineStr"/>
    </row>
    <row r="27">
      <c r="A27" t="n">
        <v>86</v>
      </c>
      <c r="B27" t="inlineStr">
        <is>
          <t>Admenta 10 Tablet</t>
        </is>
      </c>
      <c r="C27">
        <f>HYPERLINK("https://www.1mg.com/drugs/admenta-10-tablet-17669", "Click Here")</f>
        <v/>
      </c>
      <c r="D27" t="inlineStr"/>
      <c r="E27">
        <f>HYPERLINK("https://pharmeasy.in/online-medicine-order/admenta-10mg-tablet-33109", "Click Here")</f>
        <v/>
      </c>
      <c r="F27" t="inlineStr"/>
      <c r="G27">
        <f>HYPERLINK("https://www.apollopharmacy.in/medicine/admenta-10mg-tablet", "Click Here")</f>
        <v/>
      </c>
      <c r="H27" t="inlineStr"/>
      <c r="I27" t="inlineStr"/>
    </row>
    <row r="28">
      <c r="A28" t="n">
        <v>87</v>
      </c>
      <c r="B28" t="inlineStr">
        <is>
          <t>Admenta 5 Tablet</t>
        </is>
      </c>
      <c r="C28">
        <f>HYPERLINK("https://www.1mg.com/drugs/admenta-5-tablet-17666", "Click Here")</f>
        <v/>
      </c>
      <c r="D28" t="inlineStr"/>
      <c r="E28">
        <f>HYPERLINK("https://pharmeasy.in/online-medicine-order/admenta-5mg-tablet-33112", "Click Here")</f>
        <v/>
      </c>
      <c r="F28" t="inlineStr"/>
      <c r="G28">
        <f>HYPERLINK("https://www.apollopharmacy.in/medicine/admenta-5mg-tablet", "Click Here")</f>
        <v/>
      </c>
      <c r="H28" t="inlineStr"/>
      <c r="I28" t="inlineStr"/>
    </row>
    <row r="29">
      <c r="A29" t="n">
        <v>88</v>
      </c>
      <c r="B29" t="inlineStr">
        <is>
          <t>Adrenaline Tartrate Injection</t>
        </is>
      </c>
      <c r="C29">
        <f>HYPERLINK("https://www.1mg.com/drugs/adrenaline-tartrate-injection-242957", "Click Here")</f>
        <v/>
      </c>
      <c r="D29" t="inlineStr"/>
      <c r="E29" t="inlineStr">
        <is>
          <t>N/A</t>
        </is>
      </c>
      <c r="F29" t="inlineStr"/>
      <c r="G29">
        <f>HYPERLINK("https://www.apollopharmacy.in/medicine/adrenaline-injection-1ml", "Click Here")</f>
        <v/>
      </c>
      <c r="H29" t="inlineStr"/>
      <c r="I29" t="inlineStr"/>
    </row>
    <row r="30">
      <c r="A30" t="n">
        <v>89</v>
      </c>
      <c r="B30" t="inlineStr">
        <is>
          <t>Adtrol XT Tablet</t>
        </is>
      </c>
      <c r="C30">
        <f>HYPERLINK("https://www.1mg.com/drugs/adtrol-xt-tablet-684261", "Click Here")</f>
        <v/>
      </c>
      <c r="D30" t="inlineStr"/>
      <c r="E30">
        <f>HYPERLINK("https://pharmeasy.in/online-medicine-order/adtrol-xt-strip-of-15-tablets-3563001", "Click Here")</f>
        <v/>
      </c>
      <c r="F30" t="inlineStr"/>
      <c r="G30">
        <f>HYPERLINK("https://www.apollopharmacy.in/otc/adtrol-xt-tab-15-s", "Click Here")</f>
        <v/>
      </c>
      <c r="H30" t="inlineStr"/>
      <c r="I30" t="inlineStr"/>
    </row>
    <row r="31">
      <c r="A31" t="n">
        <v>90</v>
      </c>
      <c r="B31" t="inlineStr">
        <is>
          <t>Advanced LCF Kid Expectorant</t>
        </is>
      </c>
      <c r="C31" t="inlineStr">
        <is>
          <t>N/A</t>
        </is>
      </c>
      <c r="D31" t="inlineStr"/>
      <c r="E31">
        <f>HYPERLINK("https://pharmeasy.in/online-medicine-order/advanced-lcf-kid-expectorant-60ml-213230", "Click Here")</f>
        <v/>
      </c>
      <c r="F31" t="inlineStr"/>
      <c r="G31" t="inlineStr">
        <is>
          <t>N/A</t>
        </is>
      </c>
      <c r="H31" t="inlineStr"/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91</v>
      </c>
      <c r="B2" t="inlineStr">
        <is>
          <t>Advent 228.5mg Dry Syrup</t>
        </is>
      </c>
      <c r="C2">
        <f>HYPERLINK("https://www.1mg.com/drugs/advent-228.5mg-dry-syrup-tangy-orange-68405", "Click Here")</f>
        <v/>
      </c>
      <c r="D2" t="inlineStr"/>
      <c r="E2">
        <f>HYPERLINK("https://pharmeasy.in/online-medicine-order/advent-228-5mg-tangy-orang-flavour-kids-dry-syrup-30ml-33152", "Click Here")</f>
        <v/>
      </c>
      <c r="F2" t="inlineStr"/>
      <c r="G2" t="inlineStr">
        <is>
          <t>N/A</t>
        </is>
      </c>
      <c r="H2" t="inlineStr"/>
      <c r="I2" t="inlineStr"/>
    </row>
    <row r="3">
      <c r="A3" t="n">
        <v>92</v>
      </c>
      <c r="B3" t="inlineStr">
        <is>
          <t>Advent 625 Tablet</t>
        </is>
      </c>
      <c r="C3">
        <f>HYPERLINK("https://www.1mg.com/drugs/advent-625-tablet-58354", "Click Here")</f>
        <v/>
      </c>
      <c r="D3" t="inlineStr"/>
      <c r="E3">
        <f>HYPERLINK("https://pharmeasy.in/online-medicine-order/advent-625mg-strip-of-10-tablets-6777",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93</v>
      </c>
      <c r="B4" t="inlineStr">
        <is>
          <t>Advent 91.4mg Drops Tangy Orange</t>
        </is>
      </c>
      <c r="C4">
        <f>HYPERLINK("https://www.1mg.com/drugs/advent-91.4mg-drops-tangy-orange-151860", "Click Here")</f>
        <v/>
      </c>
      <c r="D4" t="inlineStr"/>
      <c r="E4">
        <f>HYPERLINK("https://pharmeasy.in/online-medicine-order/advent-91-4mg-orange-flavour-bottle-of-10ml-drops-6452", "Click Here")</f>
        <v/>
      </c>
      <c r="F4" t="inlineStr"/>
      <c r="G4" t="inlineStr">
        <is>
          <t>N/A</t>
        </is>
      </c>
      <c r="H4" t="inlineStr"/>
      <c r="I4" t="inlineStr"/>
    </row>
    <row r="5">
      <c r="A5" t="n">
        <v>94</v>
      </c>
      <c r="B5" t="inlineStr">
        <is>
          <t>Advent Forte 457mg Syrup Tangy Orange</t>
        </is>
      </c>
      <c r="C5" t="inlineStr">
        <is>
          <t>N/A</t>
        </is>
      </c>
      <c r="D5" t="inlineStr"/>
      <c r="E5">
        <f>HYPERLINK("https://pharmeasy.in/online-medicine-order/advent-forte-457mg-orange-flavour-syrup-30ml-212082", "Click Here")</f>
        <v/>
      </c>
      <c r="F5" t="inlineStr"/>
      <c r="G5">
        <f>HYPERLINK("https://www.apollopharmacy.in/medicine/advent-forte-457mg-orange-flav-paed-syrup-60ml", "Click Here")</f>
        <v/>
      </c>
      <c r="H5" t="inlineStr"/>
      <c r="I5" t="inlineStr"/>
    </row>
    <row r="6">
      <c r="A6" t="n">
        <v>95</v>
      </c>
      <c r="B6" t="inlineStr">
        <is>
          <t>Aerocort Forte Rotacap</t>
        </is>
      </c>
      <c r="C6">
        <f>HYPERLINK("https://www.1mg.com/drugs/aerocort-forte-rotacap-161064", "Click Here")</f>
        <v/>
      </c>
      <c r="D6" t="inlineStr"/>
      <c r="E6" t="inlineStr">
        <is>
          <t>N/A</t>
        </is>
      </c>
      <c r="F6" t="inlineStr"/>
      <c r="G6" t="inlineStr">
        <is>
          <t>N/A</t>
        </is>
      </c>
      <c r="H6" t="inlineStr"/>
      <c r="I6" t="inlineStr"/>
    </row>
    <row r="7">
      <c r="A7" t="n">
        <v>96</v>
      </c>
      <c r="B7" t="inlineStr">
        <is>
          <t>Aerocort Inhaler</t>
        </is>
      </c>
      <c r="C7">
        <f>HYPERLINK("https://www.1mg.com/drugs/aerocort-inhaler-163685", "Click Here")</f>
        <v/>
      </c>
      <c r="D7" t="inlineStr"/>
      <c r="E7">
        <f>HYPERLINK("https://pharmeasy.in/online-medicine-order/aerocort-with-dose-counter-50-50mcg-inhaler-200md-204530", "Click Here")</f>
        <v/>
      </c>
      <c r="F7" t="inlineStr"/>
      <c r="G7">
        <f>HYPERLINK("https://www.apollopharmacy.in/medicine/aerocort-50mcg-inhaler", "Click Here")</f>
        <v/>
      </c>
      <c r="H7" t="inlineStr"/>
      <c r="I7" t="inlineStr"/>
    </row>
    <row r="8">
      <c r="A8" t="n">
        <v>97</v>
      </c>
      <c r="B8" t="inlineStr">
        <is>
          <t>Aerodil SF Expectorant</t>
        </is>
      </c>
      <c r="C8">
        <f>HYPERLINK("https://www.1mg.com/drugs/ascoril-sf-expectorant-142051", "Click Here")</f>
        <v/>
      </c>
      <c r="D8" t="inlineStr"/>
      <c r="E8">
        <f>HYPERLINK("https://pharmeasy.in/online-medicine-order/aerodil-sugar-free-mixed-fruit-flavour-bottle-of-100ml-expectorant-3967062", "Click Here")</f>
        <v/>
      </c>
      <c r="F8" t="inlineStr"/>
      <c r="G8" t="inlineStr">
        <is>
          <t>N/A</t>
        </is>
      </c>
      <c r="H8" t="inlineStr"/>
      <c r="I8" t="inlineStr"/>
    </row>
    <row r="9">
      <c r="A9" t="n">
        <v>98</v>
      </c>
      <c r="B9" t="inlineStr">
        <is>
          <t>Aeromont-B Tablet</t>
        </is>
      </c>
      <c r="C9">
        <f>HYPERLINK("https://www.1mg.com/drugs/aeromont-b-tablet-719934", "Click Here")</f>
        <v/>
      </c>
      <c r="D9" t="inlineStr"/>
      <c r="E9">
        <f>HYPERLINK("https://pharmeasy.in/online-medicine-order/aeromont-b-mango-flavour-bottle-of-60ml-suspension-4359893", "Click Here")</f>
        <v/>
      </c>
      <c r="F9" t="inlineStr"/>
      <c r="G9" t="inlineStr">
        <is>
          <t>N/A</t>
        </is>
      </c>
      <c r="H9" t="inlineStr"/>
      <c r="I9" t="inlineStr"/>
    </row>
    <row r="10">
      <c r="A10" t="n">
        <v>99</v>
      </c>
      <c r="B10" t="inlineStr">
        <is>
          <t>AF 150 Tablet DT</t>
        </is>
      </c>
      <c r="C10">
        <f>HYPERLINK("https://www.1mg.com/drugs/af-150-tablet-dt-166299", "Click Here")</f>
        <v/>
      </c>
      <c r="D10" t="inlineStr"/>
      <c r="E10">
        <f>HYPERLINK("https://pharmeasy.in/online-medicine-order/af-150-mg-tab-1-s-180587", "Click Here")</f>
        <v/>
      </c>
      <c r="F10" t="inlineStr"/>
      <c r="G10" t="inlineStr">
        <is>
          <t>N/A</t>
        </is>
      </c>
      <c r="H10" t="inlineStr"/>
      <c r="I10" t="inlineStr"/>
    </row>
    <row r="11">
      <c r="A11" t="n">
        <v>100</v>
      </c>
      <c r="B11" t="inlineStr">
        <is>
          <t>AF 200 Tablet</t>
        </is>
      </c>
      <c r="C11">
        <f>HYPERLINK("https://www.1mg.com/drugs/af-200-tablet-148773", "Click Here")</f>
        <v/>
      </c>
      <c r="D11" t="inlineStr"/>
      <c r="E11">
        <f>HYPERLINK("https://pharmeasy.in/online-medicine-order/af-200mg-strip-of-1-tablets-26282", "Click Here")</f>
        <v/>
      </c>
      <c r="F11" t="inlineStr"/>
      <c r="G11">
        <f>HYPERLINK("https://www.apollopharmacy.in/medicine/af-200mg-tablet", "Click Here")</f>
        <v/>
      </c>
      <c r="H11" t="inlineStr"/>
      <c r="I11" t="inlineStr"/>
    </row>
    <row r="12">
      <c r="A12" t="n">
        <v>101</v>
      </c>
      <c r="B12" t="inlineStr">
        <is>
          <t>AF 400 Tablet</t>
        </is>
      </c>
      <c r="C12">
        <f>HYPERLINK("https://www.1mg.com/drugs/af-400-tablet-9573", "Click Here")</f>
        <v/>
      </c>
      <c r="D12" t="inlineStr"/>
      <c r="E12" t="inlineStr">
        <is>
          <t>N/A</t>
        </is>
      </c>
      <c r="F12" t="inlineStr"/>
      <c r="G12" t="inlineStr">
        <is>
          <t>N/A</t>
        </is>
      </c>
      <c r="H12" t="inlineStr"/>
      <c r="I12" t="inlineStr"/>
    </row>
    <row r="13">
      <c r="A13" t="n">
        <v>102</v>
      </c>
      <c r="B13" t="inlineStr">
        <is>
          <t>AF Kit Tablet</t>
        </is>
      </c>
      <c r="C13">
        <f>HYPERLINK("https://www.1mg.com/drugs/af-kit-tablet-68739", "Click Here")</f>
        <v/>
      </c>
      <c r="D13" t="inlineStr"/>
      <c r="E13">
        <f>HYPERLINK("https://pharmeasy.in/online-medicine-order/af-kit-33185", "Click Here")</f>
        <v/>
      </c>
      <c r="F13" t="inlineStr"/>
      <c r="G13">
        <f>HYPERLINK("https://www.apollopharmacy.in/medicine/af-kit-tablet", "Click Here")</f>
        <v/>
      </c>
      <c r="H13" t="inlineStr"/>
      <c r="I13" t="inlineStr"/>
    </row>
    <row r="14">
      <c r="A14" t="n">
        <v>103</v>
      </c>
      <c r="B14" t="inlineStr">
        <is>
          <t>AF-K Lotion</t>
        </is>
      </c>
      <c r="C14">
        <f>HYPERLINK("https://www.1mg.com/drugs/af-k-lotion-167036", "Click Here")</f>
        <v/>
      </c>
      <c r="D14" t="inlineStr"/>
      <c r="E14">
        <f>HYPERLINK("https://pharmeasy.in/online-medicine-order/afk-lotion-100ml-26335", "Click Here")</f>
        <v/>
      </c>
      <c r="F14" t="inlineStr"/>
      <c r="G14">
        <f>HYPERLINK("https://www.apollopharmacy.in/medicine/afk-lotion-100ml", "Click Here")</f>
        <v/>
      </c>
      <c r="H14" t="inlineStr"/>
      <c r="I14" t="inlineStr"/>
    </row>
    <row r="15">
      <c r="A15" t="n">
        <v>104</v>
      </c>
      <c r="B15" t="inlineStr">
        <is>
          <t>Afoglip M  500 Tablet ER</t>
        </is>
      </c>
      <c r="C15" t="inlineStr">
        <is>
          <t>N/A</t>
        </is>
      </c>
      <c r="D15" t="inlineStr"/>
      <c r="E15">
        <f>HYPERLINK("https://pharmeasy.in/online-medicine-order/afoglip-m-500mg-strip-of-15-tablets-3055542", "Click Here")</f>
        <v/>
      </c>
      <c r="F15" t="inlineStr"/>
      <c r="G15" t="inlineStr">
        <is>
          <t>N/A</t>
        </is>
      </c>
      <c r="H15" t="inlineStr"/>
      <c r="I15" t="inlineStr"/>
    </row>
    <row r="16">
      <c r="A16" t="n">
        <v>105</v>
      </c>
      <c r="B16" t="inlineStr">
        <is>
          <t>Aginal-AT Tablet</t>
        </is>
      </c>
      <c r="C16">
        <f>HYPERLINK("https://www.1mg.com/drugs/aginal-at-tablet-545307", "Click Here")</f>
        <v/>
      </c>
      <c r="D16" t="inlineStr"/>
      <c r="E16">
        <f>HYPERLINK("https://pharmeasy.in/online-medicine-order/aginal-at-tab-15-s-220438", "Click Here")</f>
        <v/>
      </c>
      <c r="F16" t="inlineStr"/>
      <c r="G16">
        <f>HYPERLINK("https://www.apollopharmacy.in/medicine/aginal-at-tablet-15-s", "Click Here")</f>
        <v/>
      </c>
      <c r="H16" t="inlineStr"/>
      <c r="I16" t="inlineStr"/>
    </row>
    <row r="17">
      <c r="A17" t="n">
        <v>106</v>
      </c>
      <c r="B17" t="inlineStr">
        <is>
          <t>Air 120 Tablet</t>
        </is>
      </c>
      <c r="C17">
        <f>HYPERLINK("https://www.1mg.com/drugs/air-120-tablet-494602", "Click Here")</f>
        <v/>
      </c>
      <c r="D17" t="inlineStr"/>
      <c r="E17">
        <f>HYPERLINK("https://pharmeasy.in/online-medicine-order/air-120-tab-10-s-217345", "Click Here")</f>
        <v/>
      </c>
      <c r="F17" t="inlineStr"/>
      <c r="G17">
        <f>HYPERLINK("https://www.apollopharmacy.in/medicine/air-120-tablet-10-s", "Click Here")</f>
        <v/>
      </c>
      <c r="H17" t="inlineStr"/>
      <c r="I17" t="inlineStr"/>
    </row>
    <row r="18">
      <c r="A18" t="n">
        <v>107</v>
      </c>
      <c r="B18" t="inlineStr">
        <is>
          <t>Air 180 Tablet</t>
        </is>
      </c>
      <c r="C18">
        <f>HYPERLINK("https://www.1mg.com/drugs/air-180-tablet-482800", "Click Here")</f>
        <v/>
      </c>
      <c r="D18" t="inlineStr"/>
      <c r="E18">
        <f>HYPERLINK("https://pharmeasy.in/online-medicine-order/air-180mg-tab-10-s-216375", "Click Here")</f>
        <v/>
      </c>
      <c r="F18" t="inlineStr"/>
      <c r="G18" t="inlineStr">
        <is>
          <t>N/A</t>
        </is>
      </c>
      <c r="H18" t="inlineStr"/>
      <c r="I18" t="inlineStr"/>
    </row>
    <row r="19">
      <c r="A19" t="n">
        <v>108</v>
      </c>
      <c r="B19" t="inlineStr">
        <is>
          <t>Air-M Tablet</t>
        </is>
      </c>
      <c r="C19">
        <f>HYPERLINK("https://www.1mg.com/drugs/air-m-tablet-560302", "Click Here")</f>
        <v/>
      </c>
      <c r="D19" t="inlineStr"/>
      <c r="E19">
        <f>HYPERLINK("https://pharmeasy.in/online-medicine-order/air-m-tablet-10-s-233248", "Click Here")</f>
        <v/>
      </c>
      <c r="F19" t="inlineStr"/>
      <c r="G19">
        <f>HYPERLINK("https://www.apollopharmacy.in/medicine/air-m-tablet-10-s", "Click Here")</f>
        <v/>
      </c>
      <c r="H19" t="inlineStr"/>
      <c r="I19" t="inlineStr"/>
    </row>
    <row r="20">
      <c r="A20" t="n">
        <v>109</v>
      </c>
      <c r="B20" t="inlineStr">
        <is>
          <t>Airz Capsule</t>
        </is>
      </c>
      <c r="C20">
        <f>HYPERLINK("https://www.1mg.com/drugs/airz-capsule-336778", "Click Here")</f>
        <v/>
      </c>
      <c r="D20" t="inlineStr"/>
      <c r="E20">
        <f>HYPERLINK("https://pharmeasy.in/online-medicine-order/airz-ff-bottle-of-30-capsules-938454", "Click Here")</f>
        <v/>
      </c>
      <c r="F20" t="inlineStr"/>
      <c r="G20">
        <f>HYPERLINK("https://www.apollopharmacy.in/medicine/airz-fb-smartules-5x2-ml", "Click Here")</f>
        <v/>
      </c>
      <c r="H20" t="inlineStr"/>
      <c r="I20" t="inlineStr"/>
    </row>
    <row r="21">
      <c r="A21" t="n">
        <v>110</v>
      </c>
      <c r="B21" t="inlineStr">
        <is>
          <t>Airz-FF Capsule</t>
        </is>
      </c>
      <c r="C21">
        <f>HYPERLINK("https://www.1mg.com/drugs/airz-ff-capsule-622721", "Click Here")</f>
        <v/>
      </c>
      <c r="D21" t="inlineStr"/>
      <c r="E21">
        <f>HYPERLINK("https://pharmeasy.in/online-medicine-order/airz-ff-bottle-of-30-capsules-938454", "Click Here")</f>
        <v/>
      </c>
      <c r="F21" t="inlineStr"/>
      <c r="G21">
        <f>HYPERLINK("https://www.apollopharmacy.in/medicine/airz-ff-cap-powder-for-inhalation-30-s", "Click Here")</f>
        <v/>
      </c>
      <c r="H21" t="inlineStr"/>
      <c r="I21" t="inlineStr"/>
    </row>
    <row r="22">
      <c r="A22" t="n">
        <v>111</v>
      </c>
      <c r="B22" t="inlineStr">
        <is>
          <t>Ajaduo 25mg/5mg Tablet</t>
        </is>
      </c>
      <c r="C22">
        <f>HYPERLINK("https://www.1mg.com/drugs/ajaduo-25mg-5mg-tablet-479314", "Click Here")</f>
        <v/>
      </c>
      <c r="D22" t="inlineStr"/>
      <c r="E22">
        <f>HYPERLINK("https://pharmeasy.in/online-medicine-order/ajaduo-25-5mg-tab-10-s-212251", "Click Here")</f>
        <v/>
      </c>
      <c r="F22" t="inlineStr"/>
      <c r="G22" t="inlineStr">
        <is>
          <t>N/A</t>
        </is>
      </c>
      <c r="H22" t="inlineStr"/>
      <c r="I22" t="inlineStr"/>
    </row>
    <row r="23">
      <c r="A23" t="n">
        <v>112</v>
      </c>
      <c r="B23" t="inlineStr">
        <is>
          <t>Akair LC Tablet</t>
        </is>
      </c>
      <c r="C23">
        <f>HYPERLINK("https://www.1mg.com/drugs/akair-lc-tablet-925065", "Click Here")</f>
        <v/>
      </c>
      <c r="D23" t="inlineStr"/>
      <c r="E23">
        <f>HYPERLINK("https://pharmeasy.in/online-medicine-order/akair-lc-strip-of-10-tablets-65537", "Click Here")</f>
        <v/>
      </c>
      <c r="F23" t="inlineStr"/>
      <c r="G23">
        <f>HYPERLINK("https://www.apollopharmacy.in/medicine/akair-lc-tablet-15-s", "Click Here")</f>
        <v/>
      </c>
      <c r="H23" t="inlineStr"/>
      <c r="I23" t="inlineStr"/>
    </row>
    <row r="24">
      <c r="A24" t="n">
        <v>113</v>
      </c>
      <c r="B24" t="inlineStr">
        <is>
          <t>Akilos-P Tablet</t>
        </is>
      </c>
      <c r="C24">
        <f>HYPERLINK("https://www.1mg.com/drugs/akilos-p-tablet-178316", "Click Here")</f>
        <v/>
      </c>
      <c r="D24" t="inlineStr"/>
      <c r="E24">
        <f>HYPERLINK("https://pharmeasy.in/online-medicine-order/akilos-p-strip-of-10-tablets-28195", "Click Here")</f>
        <v/>
      </c>
      <c r="F24" t="inlineStr"/>
      <c r="G24">
        <f>HYPERLINK("https://www.apollopharmacy.in/medicine/akilos-p-tablet", "Click Here")</f>
        <v/>
      </c>
      <c r="H24" t="inlineStr"/>
      <c r="I24" t="inlineStr"/>
    </row>
    <row r="25">
      <c r="A25" t="n">
        <v>114</v>
      </c>
      <c r="B25" t="inlineStr">
        <is>
          <t>Akilos-SP Tablet</t>
        </is>
      </c>
      <c r="C25">
        <f>HYPERLINK("https://www.1mg.com/drugs/akilos-sp-tablet-287165", "Click Here")</f>
        <v/>
      </c>
      <c r="D25" t="inlineStr"/>
      <c r="E25">
        <f>HYPERLINK("https://pharmeasy.in/online-medicine-order/akilos-sp-strip-of-10-tablets-28204", "Click Here")</f>
        <v/>
      </c>
      <c r="F25" t="inlineStr"/>
      <c r="G25">
        <f>HYPERLINK("https://www.apollopharmacy.in/medicine/akilos-sp-tablet", "Click Here")</f>
        <v/>
      </c>
      <c r="H25" t="inlineStr"/>
      <c r="I25" t="inlineStr"/>
    </row>
    <row r="26">
      <c r="A26" t="n">
        <v>115</v>
      </c>
      <c r="B26" t="inlineStr">
        <is>
          <t>Akt 2 Tablet</t>
        </is>
      </c>
      <c r="C26">
        <f>HYPERLINK("https://www.1mg.com/drugs/akt-2-tablet-146505", "Click Here")</f>
        <v/>
      </c>
      <c r="D26" t="inlineStr"/>
      <c r="E26" t="inlineStr">
        <is>
          <t>N/A</t>
        </is>
      </c>
      <c r="F26" t="inlineStr"/>
      <c r="G26">
        <f>HYPERLINK("https://www.apollopharmacy.in/medicine/akt-2-tablet", "Click Here")</f>
        <v/>
      </c>
      <c r="H26" t="inlineStr"/>
      <c r="I26" t="inlineStr"/>
    </row>
    <row r="27">
      <c r="A27" t="n">
        <v>116</v>
      </c>
      <c r="B27" t="inlineStr">
        <is>
          <t>Akt 4 Kit</t>
        </is>
      </c>
      <c r="C27">
        <f>HYPERLINK("https://www.1mg.com/drugs/akt-4-kit-138868", "Click Here")</f>
        <v/>
      </c>
      <c r="D27" t="inlineStr"/>
      <c r="E27">
        <f>HYPERLINK("https://pharmeasy.in/online-medicine-order/fas-3-kit-46755", "Click Here")</f>
        <v/>
      </c>
      <c r="F27" t="inlineStr"/>
      <c r="G27">
        <f>HYPERLINK("https://www.apollopharmacy.in/medicine/a-k-t-4-kit-tablet", "Click Here")</f>
        <v/>
      </c>
      <c r="H27" t="inlineStr"/>
      <c r="I27" t="inlineStr"/>
    </row>
    <row r="28">
      <c r="A28" t="n">
        <v>117</v>
      </c>
      <c r="B28" t="inlineStr">
        <is>
          <t>Akurit 4 Tablet</t>
        </is>
      </c>
      <c r="C28">
        <f>HYPERLINK("https://www.1mg.com/drugs/akurit-4-tablet-147003", "Click Here")</f>
        <v/>
      </c>
      <c r="D28" t="inlineStr"/>
      <c r="E28">
        <f>HYPERLINK("https://pharmeasy.in/online-medicine-order/akurit-z-tab-33314", "Click Here")</f>
        <v/>
      </c>
      <c r="F28" t="inlineStr"/>
      <c r="G28">
        <f>HYPERLINK("https://www.apollopharmacy.in/medicine/akurit-4-kit-tablet", "Click Here")</f>
        <v/>
      </c>
      <c r="H28" t="inlineStr"/>
      <c r="I28" t="inlineStr"/>
    </row>
    <row r="29">
      <c r="A29" t="n">
        <v>118</v>
      </c>
      <c r="B29" t="inlineStr">
        <is>
          <t>Alamin Injection</t>
        </is>
      </c>
      <c r="C29">
        <f>HYPERLINK("https://www.1mg.com/drugs/alamin-m-forte-injection-311637", "Click Here")</f>
        <v/>
      </c>
      <c r="D29" t="inlineStr"/>
      <c r="E29">
        <f>HYPERLINK("https://pharmeasy.in/online-medicine-order/alamin-sn-inj-200ml-33333", "Click Here")</f>
        <v/>
      </c>
      <c r="F29" t="inlineStr"/>
      <c r="G29">
        <f>HYPERLINK("https://www.apollopharmacy.in/medicine/alamin-sn-inj-200ml", "Click Here")</f>
        <v/>
      </c>
      <c r="H29" t="inlineStr"/>
      <c r="I29" t="inlineStr"/>
    </row>
    <row r="30">
      <c r="A30" t="n">
        <v>119</v>
      </c>
      <c r="B30" t="inlineStr">
        <is>
          <t>Alaspan AM Tablet</t>
        </is>
      </c>
      <c r="C30">
        <f>HYPERLINK("https://www.1mg.com/drugs/alaspan-am-tablet-141462", "Click Here")</f>
        <v/>
      </c>
      <c r="D30" t="inlineStr"/>
      <c r="E30">
        <f>HYPERLINK("https://pharmeasy.in/online-medicine-order/alaspan-am-strip-of-10-tablets-10984", "Click Here")</f>
        <v/>
      </c>
      <c r="F30" t="inlineStr"/>
      <c r="G30" t="inlineStr">
        <is>
          <t>N/A</t>
        </is>
      </c>
      <c r="H30" t="inlineStr"/>
      <c r="I30" t="inlineStr"/>
    </row>
    <row r="31">
      <c r="A31" t="n">
        <v>120</v>
      </c>
      <c r="B31" t="inlineStr">
        <is>
          <t>Albendazole 400mg Tablet</t>
        </is>
      </c>
      <c r="C31">
        <f>HYPERLINK("https://www.1mg.com/drugs/albendazole-400mg-tablet-543127", "Click Here")</f>
        <v/>
      </c>
      <c r="D31" t="inlineStr"/>
      <c r="E31" t="inlineStr">
        <is>
          <t>N/A</t>
        </is>
      </c>
      <c r="F31" t="inlineStr"/>
      <c r="G31">
        <f>HYPERLINK("https://www.apollopharmacy.in/medicine/albendazole-400mg-tablet", "Click Here")</f>
        <v/>
      </c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121</v>
      </c>
      <c r="B2" t="inlineStr">
        <is>
          <t>Alburel 20gm Solution for Infusion</t>
        </is>
      </c>
      <c r="C2">
        <f>HYPERLINK("https://www.1mg.com/drugs/alburel-20gm-solution-for-infusion-58367", "Click Here")</f>
        <v/>
      </c>
      <c r="D2" t="inlineStr"/>
      <c r="E2">
        <f>HYPERLINK("https://pharmeasy.in/online-medicine-order/albutein-20-injection-100ml-33419", "Click Here")</f>
        <v/>
      </c>
      <c r="F2" t="inlineStr"/>
      <c r="G2" t="inlineStr">
        <is>
          <t>N/A</t>
        </is>
      </c>
      <c r="H2" t="inlineStr"/>
      <c r="I2" t="inlineStr"/>
    </row>
    <row r="3">
      <c r="A3" t="n">
        <v>122</v>
      </c>
      <c r="B3" t="inlineStr">
        <is>
          <t>Alcet 5mg Tablet</t>
        </is>
      </c>
      <c r="C3">
        <f>HYPERLINK("https://www.1mg.com/drugs/alcet-5mg-tablet-321871", "Click Here")</f>
        <v/>
      </c>
      <c r="D3" t="inlineStr"/>
      <c r="E3">
        <f>HYPERLINK("https://pharmeasy.in/online-medicine-order/alcet-5mg-tablet-22299", "Click Here")</f>
        <v/>
      </c>
      <c r="F3" t="inlineStr"/>
      <c r="G3">
        <f>HYPERLINK("https://www.apollopharmacy.in/medicine/alcet-m-tablet-10-s", "Click Here")</f>
        <v/>
      </c>
      <c r="H3" t="inlineStr"/>
      <c r="I3" t="inlineStr"/>
    </row>
    <row r="4">
      <c r="A4" t="n">
        <v>123</v>
      </c>
      <c r="B4" t="inlineStr">
        <is>
          <t>Alciflox 500mg Tablet</t>
        </is>
      </c>
      <c r="C4">
        <f>HYPERLINK("https://www.1mg.com/drugs/alciflox-500mg-tablet-165760", "Click Here")</f>
        <v/>
      </c>
      <c r="D4" t="inlineStr"/>
      <c r="E4">
        <f>HYPERLINK("https://pharmeasy.in/online-medicine-order/alciflox-tz-tablet-10-no-s-3730498", "Click Here")</f>
        <v/>
      </c>
      <c r="F4" t="inlineStr"/>
      <c r="G4" t="inlineStr">
        <is>
          <t>N/A</t>
        </is>
      </c>
      <c r="H4" t="inlineStr"/>
      <c r="I4" t="inlineStr"/>
    </row>
    <row r="5">
      <c r="A5" t="n">
        <v>124</v>
      </c>
      <c r="B5" t="inlineStr">
        <is>
          <t>Alcoliv Tablet</t>
        </is>
      </c>
      <c r="C5">
        <f>HYPERLINK("https://www.1mg.com/drugs/alcoliv-tablet-17920", "Click Here")</f>
        <v/>
      </c>
      <c r="D5" t="inlineStr"/>
      <c r="E5">
        <f>HYPERLINK("https://pharmeasy.in/online-medicine-order/alcoliv-500mg-tablet-33455", "Click Here")</f>
        <v/>
      </c>
      <c r="F5" t="inlineStr"/>
      <c r="G5">
        <f>HYPERLINK("https://www.apollopharmacy.in/medicine/alcoliv-500mg-tablet", "Click Here")</f>
        <v/>
      </c>
      <c r="H5" t="inlineStr"/>
      <c r="I5" t="inlineStr"/>
    </row>
    <row r="6">
      <c r="A6" t="n">
        <v>125</v>
      </c>
      <c r="B6" t="inlineStr">
        <is>
          <t>Alcros 100 Capsule</t>
        </is>
      </c>
      <c r="C6">
        <f>HYPERLINK("https://www.1mg.com/drugs/alcros-100-capsule-568587", "Click Here")</f>
        <v/>
      </c>
      <c r="D6" t="inlineStr"/>
      <c r="E6">
        <f>HYPERLINK("https://pharmeasy.in/online-medicine-order/alcros-100mg-capsule-10-s-233938", "Click Here")</f>
        <v/>
      </c>
      <c r="F6" t="inlineStr"/>
      <c r="G6">
        <f>HYPERLINK("https://www.apollopharmacy.in/medicine/alcros-100mg-capsule-10-s", "Click Here")</f>
        <v/>
      </c>
      <c r="H6" t="inlineStr"/>
      <c r="I6" t="inlineStr"/>
    </row>
    <row r="7">
      <c r="A7" t="n">
        <v>126</v>
      </c>
      <c r="B7" t="inlineStr">
        <is>
          <t>Aldactone 100 Tablet</t>
        </is>
      </c>
      <c r="C7">
        <f>HYPERLINK("https://www.1mg.com/drugs/aldactone-100-tablet-34409", "Click Here")</f>
        <v/>
      </c>
      <c r="D7" t="inlineStr"/>
      <c r="E7">
        <f>HYPERLINK("https://pharmeasy.in/online-medicine-order/aldactone-100mg-tablet-33463", "Click Here")</f>
        <v/>
      </c>
      <c r="F7" t="inlineStr"/>
      <c r="G7">
        <f>HYPERLINK("https://www.apollopharmacy.in/medicine/aldactone-100mg-tablet", "Click Here")</f>
        <v/>
      </c>
      <c r="H7" t="inlineStr"/>
      <c r="I7" t="inlineStr"/>
    </row>
    <row r="8">
      <c r="A8" t="n">
        <v>127</v>
      </c>
      <c r="B8" t="inlineStr">
        <is>
          <t>Aldactone 50 Tablet</t>
        </is>
      </c>
      <c r="C8" t="inlineStr">
        <is>
          <t>N/A</t>
        </is>
      </c>
      <c r="D8" t="inlineStr"/>
      <c r="E8">
        <f>HYPERLINK("https://pharmeasy.in/online-medicine-order/aldactone-50mg-strip-of-15-tablets-23670", "Click Here")</f>
        <v/>
      </c>
      <c r="F8" t="inlineStr"/>
      <c r="G8" t="inlineStr">
        <is>
          <t>N/A</t>
        </is>
      </c>
      <c r="H8" t="inlineStr"/>
      <c r="I8" t="inlineStr"/>
    </row>
    <row r="9">
      <c r="A9" t="n">
        <v>128</v>
      </c>
      <c r="B9" t="inlineStr">
        <is>
          <t>Aldactone Tablet</t>
        </is>
      </c>
      <c r="C9">
        <f>HYPERLINK("https://www.1mg.com/drugs/aldactone-tablet-116839", "Click Here")</f>
        <v/>
      </c>
      <c r="D9" t="inlineStr"/>
      <c r="E9">
        <f>HYPERLINK("https://pharmeasy.in/online-medicine-order/aldactone-25mg-strip-of-15-tablets-33466", "Click Here")</f>
        <v/>
      </c>
      <c r="F9" t="inlineStr"/>
      <c r="G9">
        <f>HYPERLINK("https://www.apollopharmacy.in/medicine/aldactone-50mg-tablet", "Click Here")</f>
        <v/>
      </c>
      <c r="H9" t="inlineStr"/>
      <c r="I9" t="inlineStr"/>
    </row>
    <row r="10">
      <c r="A10" t="n">
        <v>129</v>
      </c>
      <c r="B10" t="inlineStr">
        <is>
          <t>Aldigesic P 100mg/325mg Tablet</t>
        </is>
      </c>
      <c r="C10" t="inlineStr">
        <is>
          <t>N/A</t>
        </is>
      </c>
      <c r="D10" t="inlineStr"/>
      <c r="E10">
        <f>HYPERLINK("https://pharmeasy.in/online-medicine-order/aldigesic-p-tablet-15-s-230563", "Click Here")</f>
        <v/>
      </c>
      <c r="F10" t="inlineStr"/>
      <c r="G10" t="inlineStr">
        <is>
          <t>N/A</t>
        </is>
      </c>
      <c r="H10" t="inlineStr"/>
      <c r="I10" t="inlineStr"/>
    </row>
    <row r="11">
      <c r="A11" t="n">
        <v>130</v>
      </c>
      <c r="B11" t="inlineStr">
        <is>
          <t>Aldigesic-SP Tablet</t>
        </is>
      </c>
      <c r="C11">
        <f>HYPERLINK("https://www.1mg.com/drugs/aldigesic-sp-tablet-146166", "Click Here")</f>
        <v/>
      </c>
      <c r="D11" t="inlineStr"/>
      <c r="E11">
        <f>HYPERLINK("https://pharmeasy.in/online-medicine-order/aldigesic-sp-forte-tablet-109854", "Click Here")</f>
        <v/>
      </c>
      <c r="F11" t="inlineStr"/>
      <c r="G11">
        <f>HYPERLINK("https://www.apollopharmacy.in/medicine/aldigesic-sp-tablet", "Click Here")</f>
        <v/>
      </c>
      <c r="H11" t="inlineStr"/>
      <c r="I11" t="inlineStr"/>
    </row>
    <row r="12">
      <c r="A12" t="n">
        <v>131</v>
      </c>
      <c r="B12" t="inlineStr">
        <is>
          <t>Aldonil Tablet</t>
        </is>
      </c>
      <c r="C12">
        <f>HYPERLINK("https://www.1mg.com/drugs/aldonil-tablet-134538", "Click Here")</f>
        <v/>
      </c>
      <c r="D12" t="inlineStr"/>
      <c r="E12">
        <f>HYPERLINK("https://pharmeasy.in/online-medicine-order/aldonil-50mg-strip-of-10-tablets-30571", "Click Here")</f>
        <v/>
      </c>
      <c r="F12" t="inlineStr"/>
      <c r="G12">
        <f>HYPERLINK("https://www.apollopharmacy.in/medicine/aldonil-50mg-tablet", "Click Here")</f>
        <v/>
      </c>
      <c r="H12" t="inlineStr"/>
      <c r="I12" t="inlineStr"/>
    </row>
    <row r="13">
      <c r="A13" t="n">
        <v>132</v>
      </c>
      <c r="B13" t="inlineStr">
        <is>
          <t>Aldosmin 1000mg Tablet</t>
        </is>
      </c>
      <c r="C13">
        <f>HYPERLINK("https://www.1mg.com/drugs/aldosmin-1000mg-tablet-609767", "Click Here")</f>
        <v/>
      </c>
      <c r="D13" t="inlineStr"/>
      <c r="E13">
        <f>HYPERLINK("https://pharmeasy.in/online-medicine-order/aldosmin-1000mg-strip-of-10-tablets-940107", "Click Here")</f>
        <v/>
      </c>
      <c r="F13" t="inlineStr"/>
      <c r="G13">
        <f>HYPERLINK("https://www.apollopharmacy.in/medicine/aldosmin-1000mg-tablets-10-s", "Click Here")</f>
        <v/>
      </c>
      <c r="H13" t="inlineStr"/>
      <c r="I13" t="inlineStr"/>
    </row>
    <row r="14">
      <c r="A14" t="n">
        <v>133</v>
      </c>
      <c r="B14" t="inlineStr">
        <is>
          <t>Aldosmin 500mg Tablet</t>
        </is>
      </c>
      <c r="C14">
        <f>HYPERLINK("https://www.1mg.com/drugs/aldosmin-500mg-tablet-609979", "Click Here")</f>
        <v/>
      </c>
      <c r="D14" t="inlineStr"/>
      <c r="E14">
        <f>HYPERLINK("https://pharmeasy.in/online-medicine-order/aldosmin-500mg-strip-of-10-tablets-530038", "Click Here")</f>
        <v/>
      </c>
      <c r="F14" t="inlineStr"/>
      <c r="G14">
        <f>HYPERLINK("https://www.apollopharmacy.in/medicine/aldosmin-500mg-tablets-10-s", "Click Here")</f>
        <v/>
      </c>
      <c r="H14" t="inlineStr"/>
      <c r="I14" t="inlineStr"/>
    </row>
    <row r="15">
      <c r="A15" t="n">
        <v>134</v>
      </c>
      <c r="B15" t="inlineStr">
        <is>
          <t>Aldrose-Sp</t>
        </is>
      </c>
      <c r="C15" t="inlineStr">
        <is>
          <t>N/A</t>
        </is>
      </c>
      <c r="D15" t="inlineStr"/>
      <c r="E15" t="inlineStr">
        <is>
          <t>N/A</t>
        </is>
      </c>
      <c r="F15" t="inlineStr"/>
      <c r="G15" t="inlineStr">
        <is>
          <t>N/A</t>
        </is>
      </c>
      <c r="H15" t="inlineStr"/>
      <c r="I15" t="inlineStr"/>
    </row>
    <row r="16">
      <c r="A16" t="n">
        <v>135</v>
      </c>
      <c r="B16" t="inlineStr">
        <is>
          <t>Alensol-D Tablet</t>
        </is>
      </c>
      <c r="C16">
        <f>HYPERLINK("https://www.1mg.com/drugs/alensol-d-tablet-171786", "Click Here")</f>
        <v/>
      </c>
      <c r="D16" t="inlineStr"/>
      <c r="E16">
        <f>HYPERLINK("https://pharmeasy.in/online-medicine-order/alensol-d-tablet-19119", "Click Here")</f>
        <v/>
      </c>
      <c r="F16" t="inlineStr"/>
      <c r="G16" t="inlineStr">
        <is>
          <t>N/A</t>
        </is>
      </c>
      <c r="H16" t="inlineStr"/>
      <c r="I16" t="inlineStr"/>
    </row>
    <row r="17">
      <c r="A17" t="n">
        <v>136</v>
      </c>
      <c r="B17" t="inlineStr">
        <is>
          <t>Alerfix Total Tablet SR</t>
        </is>
      </c>
      <c r="C17" t="inlineStr">
        <is>
          <t>N/A</t>
        </is>
      </c>
      <c r="D17" t="inlineStr"/>
      <c r="E17">
        <f>HYPERLINK("https://pharmeasy.in/online-medicine-order/alerfix-total-strip-of-15-tablets-10033", "Click Here")</f>
        <v/>
      </c>
      <c r="F17" t="inlineStr"/>
      <c r="G17">
        <f>HYPERLINK("https://www.apollopharmacy.in/medicine/alerfix-total-tablet", "Click Here")</f>
        <v/>
      </c>
      <c r="H17" t="inlineStr"/>
      <c r="I17" t="inlineStr"/>
    </row>
    <row r="18">
      <c r="A18" t="n">
        <v>137</v>
      </c>
      <c r="B18" t="inlineStr">
        <is>
          <t>Alerid Syrup</t>
        </is>
      </c>
      <c r="C18">
        <f>HYPERLINK("https://www.1mg.com/drugs/alerid-syrup-209979", "Click Here")</f>
        <v/>
      </c>
      <c r="D18" t="inlineStr"/>
      <c r="E18">
        <f>HYPERLINK("https://pharmeasy.in/online-medicine-order/alerid-syp-60ml-6800", "Click Here")</f>
        <v/>
      </c>
      <c r="F18" t="inlineStr"/>
      <c r="G18">
        <f>HYPERLINK("https://www.apollopharmacy.in/medicine/alerid-syrup-30ml", "Click Here")</f>
        <v/>
      </c>
      <c r="H18" t="inlineStr"/>
      <c r="I18" t="inlineStr"/>
    </row>
    <row r="19">
      <c r="A19" t="n">
        <v>138</v>
      </c>
      <c r="B19" t="inlineStr">
        <is>
          <t>Alerid Tablet</t>
        </is>
      </c>
      <c r="C19">
        <f>HYPERLINK("https://www.1mg.com/drugs/alerid-tablet-67683", "Click Here")</f>
        <v/>
      </c>
      <c r="D19" t="inlineStr"/>
      <c r="E19">
        <f>HYPERLINK("https://pharmeasy.in/online-medicine-order/alerid-10mg-strip-of-10-tablets-33518", "Click Here")</f>
        <v/>
      </c>
      <c r="F19" t="inlineStr"/>
      <c r="G19" t="inlineStr">
        <is>
          <t>N/A</t>
        </is>
      </c>
      <c r="H19" t="inlineStr"/>
      <c r="I19" t="inlineStr"/>
    </row>
    <row r="20">
      <c r="A20" t="n">
        <v>139</v>
      </c>
      <c r="B20" t="inlineStr">
        <is>
          <t>Alerid-D Tablet</t>
        </is>
      </c>
      <c r="C20">
        <f>HYPERLINK("https://www.1mg.com/drugs/alerid-d-tablet-63164", "Click Here")</f>
        <v/>
      </c>
      <c r="D20" t="inlineStr"/>
      <c r="E20">
        <f>HYPERLINK("https://pharmeasy.in/online-medicine-order/alerid-d-tablet-33519", "Click Here")</f>
        <v/>
      </c>
      <c r="F20" t="inlineStr"/>
      <c r="G20" t="inlineStr">
        <is>
          <t>N/A</t>
        </is>
      </c>
      <c r="H20" t="inlineStr"/>
      <c r="I20" t="inlineStr"/>
    </row>
    <row r="21">
      <c r="A21" t="n">
        <v>140</v>
      </c>
      <c r="B21" t="inlineStr">
        <is>
          <t>Alevo 500 Tablet</t>
        </is>
      </c>
      <c r="C21">
        <f>HYPERLINK("https://www.1mg.com/drugs/alevo-500-tablet-16236", "Click Here")</f>
        <v/>
      </c>
      <c r="D21" t="inlineStr"/>
      <c r="E21" t="inlineStr">
        <is>
          <t>N/A</t>
        </is>
      </c>
      <c r="F21" t="inlineStr"/>
      <c r="G21">
        <f>HYPERLINK("https://www.apollopharmacy.in/medicine/alevo-500mg-tablet", "Click Here")</f>
        <v/>
      </c>
      <c r="H21" t="inlineStr"/>
      <c r="I21" t="inlineStr"/>
    </row>
    <row r="22">
      <c r="A22" t="n">
        <v>141</v>
      </c>
      <c r="B22" t="inlineStr">
        <is>
          <t>Alex Cough Lozenges Lemon Ginger</t>
        </is>
      </c>
      <c r="C22">
        <f>HYPERLINK("https://www.1mg.com/drugs/alex-cough-lozenges-lemon-ginger-144921", "Click Here")</f>
        <v/>
      </c>
      <c r="D22" t="inlineStr"/>
      <c r="E22">
        <f>HYPERLINK("https://pharmeasy.in/online-medicine-order/alex-5mg-ginger-lemon-flav-lozenges-10-s-210493", "Click Here")</f>
        <v/>
      </c>
      <c r="F22" t="inlineStr"/>
      <c r="G22">
        <f>HYPERLINK("https://www.apollopharmacy.in/medicine/alex-cough-lozenges-tablet", "Click Here")</f>
        <v/>
      </c>
      <c r="H22" t="inlineStr"/>
      <c r="I22" t="inlineStr"/>
    </row>
    <row r="23">
      <c r="A23" t="n">
        <v>142</v>
      </c>
      <c r="B23" t="inlineStr">
        <is>
          <t>Alex Cough Lozenges Sugar Free</t>
        </is>
      </c>
      <c r="C23">
        <f>HYPERLINK("https://www.1mg.com/drugs/alex-l-cough-syrup-mango-sugar-free-518294", "Click Here")</f>
        <v/>
      </c>
      <c r="D23" t="inlineStr"/>
      <c r="E23">
        <f>HYPERLINK("https://pharmeasy.in/online-medicine-order/alex-sugar-free-strip-of-10-cough-lozenges-172863", "Click Here")</f>
        <v/>
      </c>
      <c r="F23" t="inlineStr"/>
      <c r="G23">
        <f>HYPERLINK("https://www.apollopharmacy.in/medicine/alex-sugar-free-lozenges", "Click Here")</f>
        <v/>
      </c>
      <c r="H23" t="inlineStr"/>
      <c r="I23" t="inlineStr"/>
    </row>
    <row r="24">
      <c r="A24" t="n">
        <v>143</v>
      </c>
      <c r="B24" t="inlineStr">
        <is>
          <t>Alex Junior Syrup</t>
        </is>
      </c>
      <c r="C24">
        <f>HYPERLINK("https://www.1mg.com/drugs/alex-junior-syrup-165376", "Click Here")</f>
        <v/>
      </c>
      <c r="D24" t="inlineStr"/>
      <c r="E24">
        <f>HYPERLINK("https://pharmeasy.in/online-medicine-order/alex-junior-syp-60ml-11800", "Click Here")</f>
        <v/>
      </c>
      <c r="F24" t="inlineStr"/>
      <c r="G24">
        <f>HYPERLINK("https://www.apollopharmacy.in/medicine/alex-junior-syrup-60ml", "Click Here")</f>
        <v/>
      </c>
      <c r="H24" t="inlineStr"/>
      <c r="I24" t="inlineStr"/>
    </row>
    <row r="25">
      <c r="A25" t="n">
        <v>144</v>
      </c>
      <c r="B25" t="inlineStr">
        <is>
          <t>Alex P Syrup</t>
        </is>
      </c>
      <c r="C25" t="inlineStr">
        <is>
          <t>N/A</t>
        </is>
      </c>
      <c r="D25" t="inlineStr"/>
      <c r="E25">
        <f>HYPERLINK("https://pharmeasy.in/online-medicine-order/alex-p-syp-60ml-210499", "Click Here")</f>
        <v/>
      </c>
      <c r="F25" t="inlineStr"/>
      <c r="G25">
        <f>HYPERLINK("https://www.apollopharmacy.in/medicine/alex-p-syrup-60ml", "Click Here")</f>
        <v/>
      </c>
      <c r="H25" t="inlineStr"/>
      <c r="I25" t="inlineStr"/>
    </row>
    <row r="26">
      <c r="A26" t="n">
        <v>145</v>
      </c>
      <c r="B26" t="inlineStr">
        <is>
          <t>Alex Plus Paediatric Oral Drops</t>
        </is>
      </c>
      <c r="C26" t="inlineStr">
        <is>
          <t>N/A</t>
        </is>
      </c>
      <c r="D26" t="inlineStr"/>
      <c r="E26" t="inlineStr">
        <is>
          <t>N/A</t>
        </is>
      </c>
      <c r="F26" t="inlineStr"/>
      <c r="G26" t="inlineStr">
        <is>
          <t>N/A</t>
        </is>
      </c>
      <c r="H26" t="inlineStr"/>
      <c r="I26" t="inlineStr"/>
    </row>
    <row r="27">
      <c r="A27" t="n">
        <v>146</v>
      </c>
      <c r="B27" t="inlineStr">
        <is>
          <t>Alex Syrup</t>
        </is>
      </c>
      <c r="C27">
        <f>HYPERLINK("https://www.1mg.com/drugs/alex-syrup-63175", "Click Here")</f>
        <v/>
      </c>
      <c r="D27" t="inlineStr"/>
      <c r="E27">
        <f>HYPERLINK("https://pharmeasy.in/online-medicine-order/alex-sugar-free-bottle-of-100ml-syrup-170600", "Click Here")</f>
        <v/>
      </c>
      <c r="F27" t="inlineStr"/>
      <c r="G27">
        <f>HYPERLINK("https://www.apollopharmacy.in/medicine/alex-syrup-100ml", "Click Here")</f>
        <v/>
      </c>
      <c r="H27" t="inlineStr"/>
      <c r="I27" t="inlineStr"/>
    </row>
    <row r="28">
      <c r="A28" t="n">
        <v>147</v>
      </c>
      <c r="B28" t="inlineStr">
        <is>
          <t>Alex Syrup Sugar Free</t>
        </is>
      </c>
      <c r="C28">
        <f>HYPERLINK("https://www.1mg.com/drugs/alex-l-cough-syrup-mango-sugar-free-518294", "Click Here")</f>
        <v/>
      </c>
      <c r="D28" t="inlineStr"/>
      <c r="E28">
        <f>HYPERLINK("https://pharmeasy.in/online-medicine-order/alex-sugar-free-bottle-of-100ml-syrup-170600", "Click Here")</f>
        <v/>
      </c>
      <c r="F28" t="inlineStr"/>
      <c r="G28">
        <f>HYPERLINK("https://www.apollopharmacy.in/medicine/alex-sugar-free-syrup-100ml", "Click Here")</f>
        <v/>
      </c>
      <c r="H28" t="inlineStr"/>
      <c r="I28" t="inlineStr"/>
    </row>
    <row r="29">
      <c r="A29" t="n">
        <v>148</v>
      </c>
      <c r="B29" t="inlineStr">
        <is>
          <t>Alex-L Cough Syrup Mango</t>
        </is>
      </c>
      <c r="C29">
        <f>HYPERLINK("https://www.1mg.com/drugs/alex-l-cough-syrup-mango-sugar-free-518294", "Click Here")</f>
        <v/>
      </c>
      <c r="D29" t="inlineStr"/>
      <c r="E29">
        <f>HYPERLINK("https://pharmeasy.in/online-medicine-order/alex-l-mango-flavour-bottle-of-100ml-cough-syrup-216484", "Click Here")</f>
        <v/>
      </c>
      <c r="F29" t="inlineStr"/>
      <c r="G29">
        <f>HYPERLINK("https://www.apollopharmacy.in/medicine/alex-l-cough-syrup-mango-sugar-free", "Click Here")</f>
        <v/>
      </c>
      <c r="H29" t="inlineStr"/>
      <c r="I29" t="inlineStr"/>
    </row>
    <row r="30">
      <c r="A30" t="n">
        <v>149</v>
      </c>
      <c r="B30" t="inlineStr">
        <is>
          <t>Alfoo 10mg Tablet PR</t>
        </is>
      </c>
      <c r="C30">
        <f>HYPERLINK("https://www.1mg.com/drugs/alfoo-10mg-tablet-pr-131698", "Click Here")</f>
        <v/>
      </c>
      <c r="D30" t="inlineStr"/>
      <c r="E30">
        <f>HYPERLINK("https://pharmeasy.in/online-medicine-order/alfoo-10mg-tab-30-s-8442", "Click Here")</f>
        <v/>
      </c>
      <c r="F30" t="inlineStr"/>
      <c r="G30" t="inlineStr">
        <is>
          <t>N/A</t>
        </is>
      </c>
      <c r="H30" t="inlineStr"/>
      <c r="I30" t="inlineStr"/>
    </row>
    <row r="31">
      <c r="A31" t="n">
        <v>150</v>
      </c>
      <c r="B31" t="inlineStr">
        <is>
          <t>Alfusin Tablet PR</t>
        </is>
      </c>
      <c r="C31">
        <f>HYPERLINK("https://www.1mg.com/drugs/alfusin-tablet-pr-41805", "Click Here")</f>
        <v/>
      </c>
      <c r="D31" t="inlineStr"/>
      <c r="E31" t="inlineStr">
        <is>
          <t>N/A</t>
        </is>
      </c>
      <c r="F31" t="inlineStr"/>
      <c r="G31" t="inlineStr">
        <is>
          <t>N/A</t>
        </is>
      </c>
      <c r="H31" t="inlineStr"/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151</v>
      </c>
      <c r="B2" t="inlineStr">
        <is>
          <t>Algesia CR 200mg/20mg Capsule</t>
        </is>
      </c>
      <c r="C2">
        <f>HYPERLINK("https://www.1mg.com/drugs/algesia-cr-200mg-20mg-capsule-704045", "Click Here")</f>
        <v/>
      </c>
      <c r="D2" t="inlineStr"/>
      <c r="E2" t="inlineStr">
        <is>
          <t>N/A</t>
        </is>
      </c>
      <c r="F2" t="inlineStr"/>
      <c r="G2" t="inlineStr">
        <is>
          <t>N/A</t>
        </is>
      </c>
      <c r="H2" t="inlineStr"/>
      <c r="I2" t="inlineStr"/>
    </row>
    <row r="3">
      <c r="A3" t="n">
        <v>152</v>
      </c>
      <c r="B3" t="inlineStr">
        <is>
          <t>Alight Plus Gel</t>
        </is>
      </c>
      <c r="C3">
        <f>HYPERLINK("https://www.1mg.com/drugs/alight-plus-gel-15gm-for-acne-treatment-248318", "Click Here")</f>
        <v/>
      </c>
      <c r="D3" t="inlineStr"/>
      <c r="E3">
        <f>HYPERLINK("https://pharmeasy.in/online-medicine-order/alight-plus-gel-16324", "Click Here")</f>
        <v/>
      </c>
      <c r="F3" t="inlineStr"/>
      <c r="G3">
        <f>HYPERLINK("https://www.apollopharmacy.in/medicine/alight-plus-gel-15gm", "Click Here")</f>
        <v/>
      </c>
      <c r="H3" t="inlineStr"/>
      <c r="I3" t="inlineStr"/>
    </row>
    <row r="4">
      <c r="A4" t="n">
        <v>153</v>
      </c>
      <c r="B4" t="inlineStr">
        <is>
          <t>Alivher Tablet</t>
        </is>
      </c>
      <c r="C4">
        <f>HYPERLINK("https://www.1mg.com/drugs/alivher-tablet-196931", "Click Here")</f>
        <v/>
      </c>
      <c r="D4" t="inlineStr"/>
      <c r="E4">
        <f>HYPERLINK("https://pharmeasy.in/online-medicine-order/alivher-25mg-tablet-1672", "Click Here")</f>
        <v/>
      </c>
      <c r="F4" t="inlineStr"/>
      <c r="G4">
        <f>HYPERLINK("https://www.apollopharmacy.in/medicine/alivher-tablet", "Click Here")</f>
        <v/>
      </c>
      <c r="H4" t="inlineStr"/>
      <c r="I4" t="inlineStr"/>
    </row>
    <row r="5">
      <c r="A5" t="n">
        <v>154</v>
      </c>
      <c r="B5" t="inlineStr">
        <is>
          <t>Alkacip Syrup</t>
        </is>
      </c>
      <c r="C5">
        <f>HYPERLINK("https://www.1mg.com/drugs/alkacip-syrup-100ml-for-kidney-gout-stone-154065", "Click Here")</f>
        <v/>
      </c>
      <c r="D5" t="inlineStr"/>
      <c r="E5">
        <f>HYPERLINK("https://pharmeasy.in/online-medicine-order/alkacip-syrup-100ml-110764", "Click Here")</f>
        <v/>
      </c>
      <c r="F5" t="inlineStr"/>
      <c r="G5">
        <f>HYPERLINK("https://www.apollopharmacy.in/otc/alkacip-syrup-100ml", "Click Here")</f>
        <v/>
      </c>
      <c r="H5" t="inlineStr"/>
      <c r="I5" t="inlineStr"/>
    </row>
    <row r="6">
      <c r="A6" t="n">
        <v>155</v>
      </c>
      <c r="B6" t="inlineStr">
        <is>
          <t>Alkaliser Syrup</t>
        </is>
      </c>
      <c r="C6">
        <f>HYPERLINK("https://www.1mg.com/drugs/alkaliser-syrup-246452", "Click Here")</f>
        <v/>
      </c>
      <c r="D6" t="inlineStr"/>
      <c r="E6">
        <f>HYPERLINK("https://pharmeasy.in/online-medicine-order/alkaliser-syp-167611", "Click Here")</f>
        <v/>
      </c>
      <c r="F6" t="inlineStr"/>
      <c r="G6" t="inlineStr">
        <is>
          <t>N/A</t>
        </is>
      </c>
      <c r="H6" t="inlineStr"/>
      <c r="I6" t="inlineStr"/>
    </row>
    <row r="7">
      <c r="A7" t="n">
        <v>156</v>
      </c>
      <c r="B7" t="inlineStr">
        <is>
          <t>Alkamax MB Alkamax MB6 Oral Solution</t>
        </is>
      </c>
      <c r="C7" t="inlineStr">
        <is>
          <t>N/A</t>
        </is>
      </c>
      <c r="D7" t="inlineStr"/>
      <c r="E7">
        <f>HYPERLINK("https://pharmeasy.in/online-medicine-order/alkamax-mb6-mango-flavour-sugar-free-bottle-of-200ml-oral-solution-3051648", "Click Here")</f>
        <v/>
      </c>
      <c r="F7" t="inlineStr"/>
      <c r="G7">
        <f>HYPERLINK("https://www.apollopharmacy.in/otc/alkamax-mb-6-s-f-raspberry-flav-solution-450ml", "Click Here")</f>
        <v/>
      </c>
      <c r="H7" t="inlineStr"/>
      <c r="I7" t="inlineStr"/>
    </row>
    <row r="8">
      <c r="A8" t="n">
        <v>157</v>
      </c>
      <c r="B8" t="inlineStr">
        <is>
          <t>Alkasol Oral Solution</t>
        </is>
      </c>
      <c r="C8">
        <f>HYPERLINK("https://www.1mg.com/drugs/alkasol-oral-solution-sugar-free-541094", "Click Here")</f>
        <v/>
      </c>
      <c r="D8" t="inlineStr"/>
      <c r="E8">
        <f>HYPERLINK("https://pharmeasy.in/online-medicine-order/alkasol-sugar-free-solution-200ml-191237", "Click Here")</f>
        <v/>
      </c>
      <c r="F8" t="inlineStr"/>
      <c r="G8">
        <f>HYPERLINK("https://www.apollopharmacy.in/otc/alkasol-syrup-200ml", "Click Here")</f>
        <v/>
      </c>
      <c r="H8" t="inlineStr"/>
      <c r="I8" t="inlineStr"/>
    </row>
    <row r="9">
      <c r="A9" t="n">
        <v>158</v>
      </c>
      <c r="B9" t="inlineStr">
        <is>
          <t>Alkasol Oral Solution Sugar Free</t>
        </is>
      </c>
      <c r="C9">
        <f>HYPERLINK("https://www.1mg.com/drugs/alkasol-oral-solution-sugar-free-551026", "Click Here")</f>
        <v/>
      </c>
      <c r="D9" t="inlineStr"/>
      <c r="E9">
        <f>HYPERLINK("https://pharmeasy.in/online-medicine-order/uprise-d3-60k-sugar-free-bottle-of-5ml-syrup-217272", "Click Here")</f>
        <v/>
      </c>
      <c r="F9" t="inlineStr"/>
      <c r="G9">
        <f>HYPERLINK("https://www.apollopharmacy.in/medicine/alkasol-sugar-free-oral-solution-100-ml", "Click Here")</f>
        <v/>
      </c>
      <c r="H9" t="inlineStr"/>
      <c r="I9" t="inlineStr"/>
    </row>
    <row r="10">
      <c r="A10" t="n">
        <v>159</v>
      </c>
      <c r="B10" t="inlineStr">
        <is>
          <t>Alkof DX Syrup</t>
        </is>
      </c>
      <c r="C10">
        <f>HYPERLINK("https://www.1mg.com/drugs/alkof-dx-syrup-156428", "Click Here")</f>
        <v/>
      </c>
      <c r="D10" t="inlineStr"/>
      <c r="E10">
        <f>HYPERLINK("https://pharmeasy.in/online-medicine-order/alkof-dx-bottle-of-100ml-syrup-2757", "Click Here")</f>
        <v/>
      </c>
      <c r="F10" t="inlineStr"/>
      <c r="G10">
        <f>HYPERLINK("https://www.apollopharmacy.in/medicine/alkof-dx-syrup-100ml", "Click Here")</f>
        <v/>
      </c>
      <c r="H10" t="inlineStr"/>
      <c r="I10" t="inlineStr"/>
    </row>
    <row r="11">
      <c r="A11" t="n">
        <v>160</v>
      </c>
      <c r="B11" t="inlineStr">
        <is>
          <t>Alkof Syrup</t>
        </is>
      </c>
      <c r="C11">
        <f>HYPERLINK("https://www.1mg.com/drugs/alkof-dx-syrup-156428", "Click Here")</f>
        <v/>
      </c>
      <c r="D11" t="inlineStr"/>
      <c r="E11">
        <f>HYPERLINK("https://pharmeasy.in/online-medicine-order/alkof-dx-bottle-of-100ml-syrup-2757", "Click Here")</f>
        <v/>
      </c>
      <c r="F11" t="inlineStr"/>
      <c r="G11">
        <f>HYPERLINK("https://www.apollopharmacy.in/medicine/alkof-orange-cough-syrup-100ml", "Click Here")</f>
        <v/>
      </c>
      <c r="H11" t="inlineStr"/>
      <c r="I11" t="inlineStr"/>
    </row>
    <row r="12">
      <c r="A12" t="n">
        <v>161</v>
      </c>
      <c r="B12" t="inlineStr">
        <is>
          <t>Allegra 120mg Tablet</t>
        </is>
      </c>
      <c r="C12">
        <f>HYPERLINK("https://www.1mg.com/drugs/allegra-120mg-tablet-68763", "Click Here")</f>
        <v/>
      </c>
      <c r="D12" t="inlineStr"/>
      <c r="E12">
        <f>HYPERLINK("https://pharmeasy.in/online-medicine-order/allegra-120mg-tablet-33719", "Click Here")</f>
        <v/>
      </c>
      <c r="F12" t="inlineStr"/>
      <c r="G12">
        <f>HYPERLINK("https://www.apollopharmacy.in/medicine/allegra-120mg-tablet", "Click Here")</f>
        <v/>
      </c>
      <c r="H12" t="inlineStr"/>
      <c r="I12" t="inlineStr"/>
    </row>
    <row r="13">
      <c r="A13" t="n">
        <v>162</v>
      </c>
      <c r="B13" t="inlineStr">
        <is>
          <t>Allegra 180mg Tablet</t>
        </is>
      </c>
      <c r="C13">
        <f>HYPERLINK("https://www.1mg.com/drugs/allegra-180mg-tablet-9187", "Click Here")</f>
        <v/>
      </c>
      <c r="D13" t="inlineStr"/>
      <c r="E13">
        <f>HYPERLINK("https://pharmeasy.in/online-medicine-order/allegra-180mg-tablet-33721", "Click Here")</f>
        <v/>
      </c>
      <c r="F13" t="inlineStr"/>
      <c r="G13" t="inlineStr">
        <is>
          <t>N/A</t>
        </is>
      </c>
      <c r="H13" t="inlineStr"/>
      <c r="I13" t="inlineStr"/>
    </row>
    <row r="14">
      <c r="A14" t="n">
        <v>163</v>
      </c>
      <c r="B14" t="inlineStr">
        <is>
          <t>Allegra Nasal Spray</t>
        </is>
      </c>
      <c r="C14">
        <f>HYPERLINK("https://www.1mg.com/drugs/allegra-nasal-spray-551613", "Click Here")</f>
        <v/>
      </c>
      <c r="D14" t="inlineStr"/>
      <c r="E14">
        <f>HYPERLINK("https://pharmeasy.in/online-medicine-order/allegra-nasal-duo-bottle-of-70-metered-dose-spray-3538454", "Click Here")</f>
        <v/>
      </c>
      <c r="F14" t="inlineStr"/>
      <c r="G14">
        <f>HYPERLINK("https://www.apollopharmacy.in/medicine/allegra-27-5mcg-nasal-spray-120md", "Click Here")</f>
        <v/>
      </c>
      <c r="H14" t="inlineStr"/>
      <c r="I14" t="inlineStr"/>
    </row>
    <row r="15">
      <c r="A15" t="n">
        <v>164</v>
      </c>
      <c r="B15" t="inlineStr">
        <is>
          <t>Allegra Suspension Raspberry &amp; Vanilla</t>
        </is>
      </c>
      <c r="C15">
        <f>HYPERLINK("https://www.1mg.com/drugs/allegra-suspension-raspberry-vanilla-114550", "Click Here")</f>
        <v/>
      </c>
      <c r="D15" t="inlineStr"/>
      <c r="E15">
        <f>HYPERLINK("https://pharmeasy.in/online-medicine-order/allegra-raspberry-vanilla-susp-100ml-33720", "Click Here")</f>
        <v/>
      </c>
      <c r="F15" t="inlineStr"/>
      <c r="G15" t="inlineStr">
        <is>
          <t>N/A</t>
        </is>
      </c>
      <c r="H15" t="inlineStr"/>
      <c r="I15" t="inlineStr"/>
    </row>
    <row r="16">
      <c r="A16" t="n">
        <v>165</v>
      </c>
      <c r="B16" t="inlineStr">
        <is>
          <t>Allegra-M Tablet</t>
        </is>
      </c>
      <c r="C16">
        <f>HYPERLINK("https://www.1mg.com/drugs/allegra-m-tablet-9172", "Click Here")</f>
        <v/>
      </c>
      <c r="D16" t="inlineStr"/>
      <c r="E16">
        <f>HYPERLINK("https://pharmeasy.in/online-medicine-order/allegra-m-tablet-31015", "Click Here")</f>
        <v/>
      </c>
      <c r="F16" t="inlineStr"/>
      <c r="G16">
        <f>HYPERLINK("https://www.apollopharmacy.in/medicine/allegra-m-tablet", "Click Here")</f>
        <v/>
      </c>
      <c r="H16" t="inlineStr"/>
      <c r="I16" t="inlineStr"/>
    </row>
    <row r="17">
      <c r="A17" t="n">
        <v>166</v>
      </c>
      <c r="B17" t="inlineStr">
        <is>
          <t>Allercet Cold Tablet</t>
        </is>
      </c>
      <c r="C17">
        <f>HYPERLINK("https://www.1mg.com/drugs/allercet-cold-syrup-387942", "Click Here")</f>
        <v/>
      </c>
      <c r="D17" t="inlineStr"/>
      <c r="E17">
        <f>HYPERLINK("https://pharmeasy.in/online-medicine-order/allercet-cold-new-strip-of-15-tablets-4381251", "Click Here")</f>
        <v/>
      </c>
      <c r="F17" t="inlineStr"/>
      <c r="G17">
        <f>HYPERLINK("https://www.apollopharmacy.in/medicine/allercet-cold-new-tab-15-s", "Click Here")</f>
        <v/>
      </c>
      <c r="H17" t="inlineStr"/>
      <c r="I17" t="inlineStr"/>
    </row>
    <row r="18">
      <c r="A18" t="n">
        <v>167</v>
      </c>
      <c r="B18" t="inlineStr">
        <is>
          <t>Allercet-DC Tablet</t>
        </is>
      </c>
      <c r="C18">
        <f>HYPERLINK("https://www.1mg.com/drugs/allercet-dc-tablet-68765", "Click Here")</f>
        <v/>
      </c>
      <c r="D18" t="inlineStr"/>
      <c r="E18">
        <f>HYPERLINK("https://pharmeasy.in/online-medicine-order/allercet-dc-new-strip-of-10-tablets-4386191", "Click Here")</f>
        <v/>
      </c>
      <c r="F18" t="inlineStr"/>
      <c r="G18" t="inlineStr">
        <is>
          <t>N/A</t>
        </is>
      </c>
      <c r="H18" t="inlineStr"/>
      <c r="I18" t="inlineStr"/>
    </row>
    <row r="19">
      <c r="A19" t="n">
        <v>168</v>
      </c>
      <c r="B19" t="inlineStr">
        <is>
          <t>Allercet-M Syrup</t>
        </is>
      </c>
      <c r="C19">
        <f>HYPERLINK("https://www.1mg.com/drugs/allercet-m-syrup-121202", "Click Here")</f>
        <v/>
      </c>
      <c r="D19" t="inlineStr"/>
      <c r="E19">
        <f>HYPERLINK("https://pharmeasy.in/online-medicine-order/allercet-m-syp-60ml-19885", "Click Here")</f>
        <v/>
      </c>
      <c r="F19" t="inlineStr"/>
      <c r="G19">
        <f>HYPERLINK("https://www.apollopharmacy.in/medicine/allercet-m-syrup-60-ml", "Click Here")</f>
        <v/>
      </c>
      <c r="H19" t="inlineStr"/>
      <c r="I19" t="inlineStr"/>
    </row>
    <row r="20">
      <c r="A20" t="n">
        <v>169</v>
      </c>
      <c r="B20" t="inlineStr">
        <is>
          <t>Allercet-M Tablet</t>
        </is>
      </c>
      <c r="C20">
        <f>HYPERLINK("https://www.1mg.com/drugs/allercet-m-tablet-162917", "Click Here")</f>
        <v/>
      </c>
      <c r="D20" t="inlineStr"/>
      <c r="E20">
        <f>HYPERLINK("https://pharmeasy.in/online-medicine-order/allercet-m-tablet-19886", "Click Here")</f>
        <v/>
      </c>
      <c r="F20" t="inlineStr"/>
      <c r="G20" t="inlineStr">
        <is>
          <t>N/A</t>
        </is>
      </c>
      <c r="H20" t="inlineStr"/>
      <c r="I20" t="inlineStr"/>
    </row>
    <row r="21">
      <c r="A21" t="n">
        <v>170</v>
      </c>
      <c r="B21" t="inlineStr">
        <is>
          <t>Allrite DC Tablet ER</t>
        </is>
      </c>
      <c r="C21">
        <f>HYPERLINK("https://www.1mg.com/drugs/allrite-dc-tablet-er-148415", "Click Here")</f>
        <v/>
      </c>
      <c r="D21" t="inlineStr"/>
      <c r="E21" t="inlineStr">
        <is>
          <t>N/A</t>
        </is>
      </c>
      <c r="F21" t="inlineStr"/>
      <c r="G21" t="inlineStr">
        <is>
          <t>N/A</t>
        </is>
      </c>
      <c r="H21" t="inlineStr"/>
      <c r="I21" t="inlineStr"/>
    </row>
    <row r="22">
      <c r="A22" t="n">
        <v>171</v>
      </c>
      <c r="B22" t="inlineStr">
        <is>
          <t>Allrose-Sp</t>
        </is>
      </c>
      <c r="C22" t="inlineStr">
        <is>
          <t>N/A</t>
        </is>
      </c>
      <c r="D22" t="inlineStr"/>
      <c r="E22" t="inlineStr">
        <is>
          <t>N/A</t>
        </is>
      </c>
      <c r="F22" t="inlineStr"/>
      <c r="G22" t="inlineStr">
        <is>
          <t>N/A</t>
        </is>
      </c>
      <c r="H22" t="inlineStr"/>
      <c r="I22" t="inlineStr"/>
    </row>
    <row r="23">
      <c r="A23" t="n">
        <v>172</v>
      </c>
      <c r="B23" t="inlineStr">
        <is>
          <t>Almox 250 Capsule</t>
        </is>
      </c>
      <c r="C23">
        <f>HYPERLINK("https://www.1mg.com/drugs/almox-250-capsule-723342", "Click Here")</f>
        <v/>
      </c>
      <c r="D23" t="inlineStr"/>
      <c r="E23">
        <f>HYPERLINK("https://pharmeasy.in/online-medicine-order/almox-250mg-strip-of-15-capsules-202383", "Click Here")</f>
        <v/>
      </c>
      <c r="F23" t="inlineStr"/>
      <c r="G23">
        <f>HYPERLINK("https://www.apollopharmacy.in/medicine/almox-250mg-capsule", "Click Here")</f>
        <v/>
      </c>
      <c r="H23" t="inlineStr"/>
      <c r="I23" t="inlineStr"/>
    </row>
    <row r="24">
      <c r="A24" t="n">
        <v>173</v>
      </c>
      <c r="B24" t="inlineStr">
        <is>
          <t>Almox 250 mg Tablet DT</t>
        </is>
      </c>
      <c r="C24" t="inlineStr">
        <is>
          <t>N/A</t>
        </is>
      </c>
      <c r="D24" t="inlineStr"/>
      <c r="E24">
        <f>HYPERLINK("https://pharmeasy.in/online-medicine-order/almox-dt-250mg-strip-of-15-tablets-3836427", "Click Here")</f>
        <v/>
      </c>
      <c r="F24" t="inlineStr"/>
      <c r="G24">
        <f>HYPERLINK("https://www.apollopharmacy.in/medicine/almox-dt-250mg-tablet-15-s", "Click Here")</f>
        <v/>
      </c>
      <c r="H24" t="inlineStr"/>
      <c r="I24" t="inlineStr"/>
    </row>
    <row r="25">
      <c r="A25" t="n">
        <v>174</v>
      </c>
      <c r="B25" t="inlineStr">
        <is>
          <t>Almox 500 Capsule</t>
        </is>
      </c>
      <c r="C25">
        <f>HYPERLINK("https://www.1mg.com/drugs/almox-500-capsule-731848", "Click Here")</f>
        <v/>
      </c>
      <c r="D25" t="inlineStr"/>
      <c r="E25">
        <f>HYPERLINK("https://pharmeasy.in/online-medicine-order/almox-cv-500-125-mg-tablet-6-3018122", "Click Here")</f>
        <v/>
      </c>
      <c r="F25" t="inlineStr"/>
      <c r="G25" t="inlineStr">
        <is>
          <t>N/A</t>
        </is>
      </c>
      <c r="H25" t="inlineStr"/>
      <c r="I25" t="inlineStr"/>
    </row>
    <row r="26">
      <c r="A26" t="n">
        <v>175</v>
      </c>
      <c r="B26" t="inlineStr">
        <is>
          <t>Almox-CV 625 Tablet</t>
        </is>
      </c>
      <c r="C26">
        <f>HYPERLINK("https://www.1mg.com/drugs/almox-cv-625-tablet-747935", "Click Here")</f>
        <v/>
      </c>
      <c r="D26" t="inlineStr"/>
      <c r="E26">
        <f>HYPERLINK("https://pharmeasy.in/online-medicine-order/almox-cv-500-125-mg-tablet-6-3018122", "Click Here")</f>
        <v/>
      </c>
      <c r="F26" t="inlineStr"/>
      <c r="G26">
        <f>HYPERLINK("https://www.apollopharmacy.in/medicine/almox-cv-625-tablet-10-s", "Click Here")</f>
        <v/>
      </c>
      <c r="H26" t="inlineStr"/>
      <c r="I26" t="inlineStr"/>
    </row>
    <row r="27">
      <c r="A27" t="n">
        <v>176</v>
      </c>
      <c r="B27" t="inlineStr">
        <is>
          <t>Alphadol 0.25mcg Capsule</t>
        </is>
      </c>
      <c r="C27">
        <f>HYPERLINK("https://www.1mg.com/drugs/alphadol-0.25mcg-capsule-38257", "Click Here")</f>
        <v/>
      </c>
      <c r="D27" t="inlineStr"/>
      <c r="E27">
        <f>HYPERLINK("https://pharmeasy.in/online-medicine-order/alphadol-0-25mcg-capsule-33866", "Click Here")</f>
        <v/>
      </c>
      <c r="F27" t="inlineStr"/>
      <c r="G27" t="inlineStr">
        <is>
          <t>N/A</t>
        </is>
      </c>
      <c r="H27" t="inlineStr"/>
      <c r="I27" t="inlineStr"/>
    </row>
    <row r="28">
      <c r="A28" t="n">
        <v>177</v>
      </c>
      <c r="B28" t="inlineStr">
        <is>
          <t>Alphagan Z Ophthalmic Solution</t>
        </is>
      </c>
      <c r="C28" t="inlineStr">
        <is>
          <t>N/A</t>
        </is>
      </c>
      <c r="D28" t="inlineStr"/>
      <c r="E28">
        <f>HYPERLINK("https://pharmeasy.in/online-medicine-order/alphagan-z-eye-drops-5ml-33871", "Click Here")</f>
        <v/>
      </c>
      <c r="F28" t="inlineStr"/>
      <c r="G28">
        <f>HYPERLINK("https://www.apollopharmacy.in/medicine/alphagan-z-drops-5ml", "Click Here")</f>
        <v/>
      </c>
      <c r="H28" t="inlineStr"/>
      <c r="I28" t="inlineStr"/>
    </row>
    <row r="29">
      <c r="A29" t="n">
        <v>178</v>
      </c>
      <c r="B29" t="inlineStr">
        <is>
          <t>Alprax 0.25 Tablet</t>
        </is>
      </c>
      <c r="C29">
        <f>HYPERLINK("https://www.1mg.com/drugs/alprax-0.25-tablet-69430", "Click Here")</f>
        <v/>
      </c>
      <c r="D29" t="inlineStr"/>
      <c r="E29" t="inlineStr">
        <is>
          <t>N/A</t>
        </is>
      </c>
      <c r="F29" t="inlineStr"/>
      <c r="G29">
        <f>HYPERLINK("https://www.apollopharmacy.in/medicine/alprax-0-25mg-tablet", "Click Here")</f>
        <v/>
      </c>
      <c r="H29" t="inlineStr"/>
      <c r="I29" t="inlineStr"/>
    </row>
    <row r="30">
      <c r="A30" t="n">
        <v>179</v>
      </c>
      <c r="B30" t="inlineStr">
        <is>
          <t>Alprax 0.5mg Tablet</t>
        </is>
      </c>
      <c r="C30">
        <f>HYPERLINK("https://www.1mg.com/drugs/alprax-0.5mg-tablet-68773", "Click Here")</f>
        <v/>
      </c>
      <c r="D30" t="inlineStr"/>
      <c r="E30" t="inlineStr">
        <is>
          <t>N/A</t>
        </is>
      </c>
      <c r="F30" t="inlineStr"/>
      <c r="G30">
        <f>HYPERLINK("https://www.apollopharmacy.in/medicine/alprax-0-5mg-tablet", "Click Here")</f>
        <v/>
      </c>
      <c r="H30" t="inlineStr"/>
      <c r="I30" t="inlineStr"/>
    </row>
    <row r="31">
      <c r="A31" t="n">
        <v>180</v>
      </c>
      <c r="B31" t="inlineStr">
        <is>
          <t>Alprax Forte 0.5 mg/50 mg Tablet</t>
        </is>
      </c>
      <c r="C31" t="inlineStr">
        <is>
          <t>N/A</t>
        </is>
      </c>
      <c r="D31" t="inlineStr"/>
      <c r="E31">
        <f>HYPERLINK("https://pharmeasy.in/online-medicine-order/urimax-d-strip-of-15-tablets-6411", "Click Here")</f>
        <v/>
      </c>
      <c r="F31" t="inlineStr"/>
      <c r="G31">
        <f>HYPERLINK("https://www.apollopharmacy.in/medicine/alprax-forte-tablet", "Click Here")</f>
        <v/>
      </c>
      <c r="H31" t="inlineStr"/>
      <c r="I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181</v>
      </c>
      <c r="B2" t="inlineStr">
        <is>
          <t>Alrgee 120mg Tablet</t>
        </is>
      </c>
      <c r="C2">
        <f>HYPERLINK("https://www.1mg.com/drugs/alrgee-120mg-tablet-620262", "Click Here")</f>
        <v/>
      </c>
      <c r="D2" t="inlineStr"/>
      <c r="E2">
        <f>HYPERLINK("https://pharmeasy.in/online-medicine-order/alrgee-120-tablet-10-no-s-3730594", "Click Here")</f>
        <v/>
      </c>
      <c r="F2" t="inlineStr"/>
      <c r="G2" t="inlineStr">
        <is>
          <t>N/A</t>
        </is>
      </c>
      <c r="H2" t="inlineStr"/>
      <c r="I2" t="inlineStr"/>
    </row>
    <row r="3">
      <c r="A3" t="n">
        <v>182</v>
      </c>
      <c r="B3" t="inlineStr">
        <is>
          <t>Alsita 100mg Tablet</t>
        </is>
      </c>
      <c r="C3">
        <f>HYPERLINK("https://www.1mg.com/drugs/alsita-100mg-tablet-765685", "Click Here")</f>
        <v/>
      </c>
      <c r="D3" t="inlineStr"/>
      <c r="E3">
        <f>HYPERLINK("https://pharmeasy.in/online-medicine-order/alsita-100-tablet-10-no-s-4118101", "Click Here")</f>
        <v/>
      </c>
      <c r="F3" t="inlineStr"/>
      <c r="G3">
        <f>HYPERLINK("https://www.apollopharmacy.in/medicine/alsita-100-tab-10-s", "Click Here")</f>
        <v/>
      </c>
      <c r="H3" t="inlineStr"/>
      <c r="I3" t="inlineStr"/>
    </row>
    <row r="4">
      <c r="A4" t="n">
        <v>183</v>
      </c>
      <c r="B4" t="inlineStr">
        <is>
          <t>Alsita M 50mg/500mg Tablet</t>
        </is>
      </c>
      <c r="C4">
        <f>HYPERLINK("https://www.1mg.com/drugs/alsita-m-50mg-500mg-tablet-er-770655", "Click Here")</f>
        <v/>
      </c>
      <c r="D4" t="inlineStr"/>
      <c r="E4">
        <f>HYPERLINK("https://pharmeasy.in/online-medicine-order/alsita-m-50mg-strip-of-10-tablets-3760199", "Click Here")</f>
        <v/>
      </c>
      <c r="F4" t="inlineStr"/>
      <c r="G4">
        <f>HYPERLINK("https://www.apollopharmacy.in/medicine/alsita-m-50-ir-tab-10-s", "Click Here")</f>
        <v/>
      </c>
      <c r="H4" t="inlineStr"/>
      <c r="I4" t="inlineStr"/>
    </row>
    <row r="5">
      <c r="A5" t="n">
        <v>184</v>
      </c>
      <c r="B5" t="inlineStr">
        <is>
          <t>Alsita-M 100 Tablet ER</t>
        </is>
      </c>
      <c r="C5">
        <f>HYPERLINK("https://www.1mg.com/drugs/alsita-m-50mg-500mg-tablet-er-770655", "Click Here")</f>
        <v/>
      </c>
      <c r="D5" t="inlineStr"/>
      <c r="E5">
        <f>HYPERLINK("https://pharmeasy.in/online-medicine-order/alsita-m-100mg-strip-of-10-tablets-3760193", "Click Here")</f>
        <v/>
      </c>
      <c r="F5" t="inlineStr"/>
      <c r="G5" t="inlineStr">
        <is>
          <t>N/A</t>
        </is>
      </c>
      <c r="H5" t="inlineStr"/>
      <c r="I5" t="inlineStr"/>
    </row>
    <row r="6">
      <c r="A6" t="n">
        <v>185</v>
      </c>
      <c r="B6" t="inlineStr">
        <is>
          <t>Altacef 500 Tablet</t>
        </is>
      </c>
      <c r="C6">
        <f>HYPERLINK("https://www.1mg.com/drugs/altacef-500-tablet-58397", "Click Here")</f>
        <v/>
      </c>
      <c r="D6" t="inlineStr"/>
      <c r="E6">
        <f>HYPERLINK("https://pharmeasy.in/online-medicine-order/altacef-500mg-tablet-33967", "Click Here")</f>
        <v/>
      </c>
      <c r="F6" t="inlineStr"/>
      <c r="G6">
        <f>HYPERLINK("https://www.apollopharmacy.in/medicine/altacef-500mg-tablet", "Click Here")</f>
        <v/>
      </c>
      <c r="H6" t="inlineStr"/>
      <c r="I6" t="inlineStr"/>
    </row>
    <row r="7">
      <c r="A7" t="n">
        <v>186</v>
      </c>
      <c r="B7" t="inlineStr">
        <is>
          <t>Althrocin 250 Tablet</t>
        </is>
      </c>
      <c r="C7" t="inlineStr">
        <is>
          <t>N/A</t>
        </is>
      </c>
      <c r="D7" t="inlineStr"/>
      <c r="E7">
        <f>HYPERLINK("https://pharmeasy.in/online-medicine-order/althrocin-250mg-tablet-33990", "Click Here")</f>
        <v/>
      </c>
      <c r="F7" t="inlineStr"/>
      <c r="G7" t="inlineStr">
        <is>
          <t>N/A</t>
        </is>
      </c>
      <c r="H7" t="inlineStr"/>
      <c r="I7" t="inlineStr"/>
    </row>
    <row r="8">
      <c r="A8" t="n">
        <v>187</v>
      </c>
      <c r="B8" t="inlineStr">
        <is>
          <t>Althrocin 500 Tablet</t>
        </is>
      </c>
      <c r="C8">
        <f>HYPERLINK("https://www.1mg.com/drugs/althrocin-500-tablet-121422", "Click Here")</f>
        <v/>
      </c>
      <c r="D8" t="inlineStr"/>
      <c r="E8">
        <f>HYPERLINK("https://pharmeasy.in/online-medicine-order/althrocin-500mg-tablet-33991", "Click Here")</f>
        <v/>
      </c>
      <c r="F8" t="inlineStr"/>
      <c r="G8">
        <f>HYPERLINK("https://www.apollopharmacy.in/medicine/althrocin-500mg-tablet", "Click Here")</f>
        <v/>
      </c>
      <c r="H8" t="inlineStr"/>
      <c r="I8" t="inlineStr"/>
    </row>
    <row r="9">
      <c r="A9" t="n">
        <v>188</v>
      </c>
      <c r="B9" t="inlineStr">
        <is>
          <t>Althrocin Liquid</t>
        </is>
      </c>
      <c r="C9">
        <f>HYPERLINK("https://www.1mg.com/drugs/althrocin-liquid-162893", "Click Here")</f>
        <v/>
      </c>
      <c r="D9" t="inlineStr"/>
      <c r="E9">
        <f>HYPERLINK("https://pharmeasy.in/online-medicine-order/althrocin-syp-33989", "Click Here")</f>
        <v/>
      </c>
      <c r="F9" t="inlineStr"/>
      <c r="G9" t="inlineStr">
        <is>
          <t>N/A</t>
        </is>
      </c>
      <c r="H9" t="inlineStr"/>
      <c r="I9" t="inlineStr"/>
    </row>
    <row r="10">
      <c r="A10" t="n">
        <v>189</v>
      </c>
      <c r="B10" t="inlineStr">
        <is>
          <t>Altifose-Sp</t>
        </is>
      </c>
      <c r="C10" t="inlineStr">
        <is>
          <t>N/A</t>
        </is>
      </c>
      <c r="D10" t="inlineStr"/>
      <c r="E10" t="inlineStr">
        <is>
          <t>N/A</t>
        </is>
      </c>
      <c r="F10" t="inlineStr"/>
      <c r="G10" t="inlineStr">
        <is>
          <t>N/A</t>
        </is>
      </c>
      <c r="H10" t="inlineStr"/>
      <c r="I10" t="inlineStr"/>
    </row>
    <row r="11">
      <c r="A11" t="n">
        <v>190</v>
      </c>
      <c r="B11" t="inlineStr">
        <is>
          <t>Altonil 3mg Tablet</t>
        </is>
      </c>
      <c r="C11">
        <f>HYPERLINK("https://www.1mg.com/drugs/altonil-3mg-tablet-693993", "Click Here")</f>
        <v/>
      </c>
      <c r="D11" t="inlineStr"/>
      <c r="E11">
        <f>HYPERLINK("https://pharmeasy.in/online-medicine-order/altonil-3mg-tab-15-s-225101", "Click Here")</f>
        <v/>
      </c>
      <c r="F11" t="inlineStr"/>
      <c r="G11" t="inlineStr">
        <is>
          <t>N/A</t>
        </is>
      </c>
      <c r="H11" t="inlineStr"/>
      <c r="I11" t="inlineStr"/>
    </row>
    <row r="12">
      <c r="A12" t="n">
        <v>191</v>
      </c>
      <c r="B12" t="inlineStr">
        <is>
          <t>Altraday Capsule SR</t>
        </is>
      </c>
      <c r="C12">
        <f>HYPERLINK("https://www.1mg.com/drugs/altraday-capsule-sr-1109190", "Click Here")</f>
        <v/>
      </c>
      <c r="D12" t="inlineStr"/>
      <c r="E12">
        <f>HYPERLINK("https://pharmeasy.in/online-medicine-order/altraday-strip-of-15-capsules-4466179", "Click Here")</f>
        <v/>
      </c>
      <c r="F12" t="inlineStr"/>
      <c r="G12" t="inlineStr">
        <is>
          <t>N/A</t>
        </is>
      </c>
      <c r="H12" t="inlineStr"/>
      <c r="I12" t="inlineStr"/>
    </row>
    <row r="13">
      <c r="A13" t="n">
        <v>192</v>
      </c>
      <c r="B13" t="inlineStr">
        <is>
          <t>Alzil 5 Tablet</t>
        </is>
      </c>
      <c r="C13">
        <f>HYPERLINK("https://www.1mg.com/drugs/alzil-5-tablet-5590", "Click Here")</f>
        <v/>
      </c>
      <c r="D13" t="inlineStr"/>
      <c r="E13">
        <f>HYPERLINK("https://pharmeasy.in/online-medicine-order/alzil-5mg-tablet-34058", "Click Here")</f>
        <v/>
      </c>
      <c r="F13" t="inlineStr"/>
      <c r="G13" t="inlineStr">
        <is>
          <t>N/A</t>
        </is>
      </c>
      <c r="H13" t="inlineStr"/>
      <c r="I13" t="inlineStr"/>
    </row>
    <row r="14">
      <c r="A14" t="n">
        <v>193</v>
      </c>
      <c r="B14" t="inlineStr">
        <is>
          <t>Alzil-M 5 Tablet</t>
        </is>
      </c>
      <c r="C14">
        <f>HYPERLINK("https://www.1mg.com/drugs/alzil-m-5-tablet-153796", "Click Here")</f>
        <v/>
      </c>
      <c r="D14" t="inlineStr"/>
      <c r="E14">
        <f>HYPERLINK("https://pharmeasy.in/online-medicine-order/alzil-m-5mg-tab-34057", "Click Here")</f>
        <v/>
      </c>
      <c r="F14" t="inlineStr"/>
      <c r="G14" t="inlineStr">
        <is>
          <t>N/A</t>
        </is>
      </c>
      <c r="H14" t="inlineStr"/>
      <c r="I14" t="inlineStr"/>
    </row>
    <row r="15">
      <c r="A15" t="n">
        <v>194</v>
      </c>
      <c r="B15" t="inlineStr">
        <is>
          <t>Alzolam 0.25mg Tablet</t>
        </is>
      </c>
      <c r="C15">
        <f>HYPERLINK("https://www.1mg.com/drugs/alzolam-0.25mg-tablet-740687", "Click Here")</f>
        <v/>
      </c>
      <c r="D15" t="inlineStr"/>
      <c r="E15">
        <f>HYPERLINK("https://pharmeasy.in/online-medicine-order/trika-0-25-mg-tablet-10-3107827", "Click Here")</f>
        <v/>
      </c>
      <c r="F15" t="inlineStr"/>
      <c r="G15">
        <f>HYPERLINK("https://www.apollopharmacy.in/medicine/alzolam-0-25mg-tablet", "Click Here")</f>
        <v/>
      </c>
      <c r="H15" t="inlineStr"/>
      <c r="I15" t="inlineStr"/>
    </row>
    <row r="16">
      <c r="A16" t="n">
        <v>195</v>
      </c>
      <c r="B16" t="inlineStr">
        <is>
          <t>Alzolam 0.5mg Tablet</t>
        </is>
      </c>
      <c r="C16">
        <f>HYPERLINK("https://www.1mg.com/drugs/alzolam-0.5-mg-tablet-sr-160672", "Click Here")</f>
        <v/>
      </c>
      <c r="D16" t="inlineStr"/>
      <c r="E16" t="inlineStr">
        <is>
          <t>N/A</t>
        </is>
      </c>
      <c r="F16" t="inlineStr"/>
      <c r="G16">
        <f>HYPERLINK("https://www.apollopharmacy.in/medicine/alzolam-0-25mg-tablet", "Click Here")</f>
        <v/>
      </c>
      <c r="H16" t="inlineStr"/>
      <c r="I16" t="inlineStr"/>
    </row>
    <row r="17">
      <c r="A17" t="n">
        <v>196</v>
      </c>
      <c r="B17" t="inlineStr">
        <is>
          <t>Amantrel Tablet</t>
        </is>
      </c>
      <c r="C17">
        <f>HYPERLINK("https://www.1mg.com/drugs/amantrel-tablet-535640", "Click Here")</f>
        <v/>
      </c>
      <c r="D17" t="inlineStr"/>
      <c r="E17">
        <f>HYPERLINK("https://pharmeasy.in/online-medicine-order/amantrel-tab-15-s-219495", "Click Here")</f>
        <v/>
      </c>
      <c r="F17" t="inlineStr"/>
      <c r="G17">
        <f>HYPERLINK("https://www.apollopharmacy.in/medicine/amantrel-100-mg-capsule-15-s", "Click Here")</f>
        <v/>
      </c>
      <c r="H17" t="inlineStr"/>
      <c r="I17" t="inlineStr"/>
    </row>
    <row r="18">
      <c r="A18" t="n">
        <v>197</v>
      </c>
      <c r="B18" t="inlineStr">
        <is>
          <t>Amaryl 1mg Tablet</t>
        </is>
      </c>
      <c r="C18">
        <f>HYPERLINK("https://www.1mg.com/drugs/amaryl-1mg-tablet-12155", "Click Here")</f>
        <v/>
      </c>
      <c r="D18" t="inlineStr"/>
      <c r="E18">
        <f>HYPERLINK("https://pharmeasy.in/online-medicine-order/amaryl-1mg-tab-30-s-24057", "Click Here")</f>
        <v/>
      </c>
      <c r="F18" t="inlineStr"/>
      <c r="G18">
        <f>HYPERLINK("https://www.apollopharmacy.in/medicine/amaryl-1mg-tablet", "Click Here")</f>
        <v/>
      </c>
      <c r="H18" t="inlineStr"/>
      <c r="I18" t="inlineStr"/>
    </row>
    <row r="19">
      <c r="A19" t="n">
        <v>198</v>
      </c>
      <c r="B19" t="inlineStr">
        <is>
          <t>Amaryl 2mg Tablet</t>
        </is>
      </c>
      <c r="C19">
        <f>HYPERLINK("https://www.1mg.com/drugs/amaryl-2mg-tablet-238268", "Click Here")</f>
        <v/>
      </c>
      <c r="D19" t="inlineStr"/>
      <c r="E19">
        <f>HYPERLINK("https://pharmeasy.in/online-medicine-order/amaryl-2mg-tab-30-s-24070", "Click Here")</f>
        <v/>
      </c>
      <c r="F19" t="inlineStr"/>
      <c r="G19" t="inlineStr">
        <is>
          <t>N/A</t>
        </is>
      </c>
      <c r="H19" t="inlineStr"/>
      <c r="I19" t="inlineStr"/>
    </row>
    <row r="20">
      <c r="A20" t="n">
        <v>199</v>
      </c>
      <c r="B20" t="inlineStr">
        <is>
          <t>Amaryl 3mg Tablet</t>
        </is>
      </c>
      <c r="C20">
        <f>HYPERLINK("https://www.1mg.com/drugs/amaryl-3mg-tablet-324732", "Click Here")</f>
        <v/>
      </c>
      <c r="D20" t="inlineStr"/>
      <c r="E20">
        <f>HYPERLINK("https://pharmeasy.in/online-medicine-order/amaryl-3mg-strip-of-30-tablets-24060", "Click Here")</f>
        <v/>
      </c>
      <c r="F20" t="inlineStr"/>
      <c r="G20" t="inlineStr">
        <is>
          <t>N/A</t>
        </is>
      </c>
      <c r="H20" t="inlineStr"/>
      <c r="I20" t="inlineStr"/>
    </row>
    <row r="21">
      <c r="A21" t="n">
        <v>200</v>
      </c>
      <c r="B21" t="inlineStr">
        <is>
          <t>Amaryl M  1mg Tablet PR</t>
        </is>
      </c>
      <c r="C21">
        <f>HYPERLINK("https://www.1mg.com/drugs/amaryl-m-1mg-tablet-pr-615784", "Click Here")</f>
        <v/>
      </c>
      <c r="D21" t="inlineStr"/>
      <c r="E21">
        <f>HYPERLINK("https://pharmeasy.in/online-medicine-order/amaryl-m-1mg-strip-of-20-tablets-2933165", "Click Here")</f>
        <v/>
      </c>
      <c r="F21" t="inlineStr"/>
      <c r="G21" t="inlineStr">
        <is>
          <t>N/A</t>
        </is>
      </c>
      <c r="H21" t="inlineStr"/>
      <c r="I21" t="inlineStr"/>
    </row>
    <row r="22">
      <c r="A22" t="n">
        <v>201</v>
      </c>
      <c r="B22" t="inlineStr">
        <is>
          <t>Amaryl M Forte 1mg Tablet PR</t>
        </is>
      </c>
      <c r="C22">
        <f>HYPERLINK("https://www.1mg.com/drugs/amaryl-m-forte-2mg-tablet-pr-339728", "Click Here")</f>
        <v/>
      </c>
      <c r="D22" t="inlineStr"/>
      <c r="E22">
        <f>HYPERLINK("https://pharmeasy.in/online-medicine-order/amaryl-m-forte-1mg-tablet-15-s-193397", "Click Here")</f>
        <v/>
      </c>
      <c r="F22" t="inlineStr"/>
      <c r="G22">
        <f>HYPERLINK("https://www.apollopharmacy.in/medicine/amaryl-m-forte-1mg-tablet", "Click Here")</f>
        <v/>
      </c>
      <c r="H22" t="inlineStr"/>
      <c r="I22" t="inlineStr"/>
    </row>
    <row r="23">
      <c r="A23" t="n">
        <v>202</v>
      </c>
      <c r="B23" t="inlineStr">
        <is>
          <t>Amaryl M Forte 2mg Tablet PR</t>
        </is>
      </c>
      <c r="C23">
        <f>HYPERLINK("https://www.1mg.com/drugs/amaryl-m-1mg-tablet-pr-615784", "Click Here")</f>
        <v/>
      </c>
      <c r="D23" t="inlineStr"/>
      <c r="E23">
        <f>HYPERLINK("https://pharmeasy.in/online-medicine-order/amaryl-m-forte-2mg-tab-15-s-189299", "Click Here")</f>
        <v/>
      </c>
      <c r="F23" t="inlineStr"/>
      <c r="G23" t="inlineStr">
        <is>
          <t>N/A</t>
        </is>
      </c>
      <c r="H23" t="inlineStr"/>
      <c r="I23" t="inlineStr"/>
    </row>
    <row r="24">
      <c r="A24" t="n">
        <v>203</v>
      </c>
      <c r="B24" t="inlineStr">
        <is>
          <t>Amaryl MV 1mg Tablet SR</t>
        </is>
      </c>
      <c r="C24">
        <f>HYPERLINK("https://www.1mg.com/drugs/amaryl-mv-1mg-tablet-sr-332317", "Click Here")</f>
        <v/>
      </c>
      <c r="D24" t="inlineStr"/>
      <c r="E24">
        <f>HYPERLINK("https://pharmeasy.in/online-medicine-order/amaryl-mv-1mg-strip-of-15-tablets-24088", "Click Here")</f>
        <v/>
      </c>
      <c r="F24" t="inlineStr"/>
      <c r="G24">
        <f>HYPERLINK("https://perfmedicine.apollopharmacy.in/medicine/amaryl-mv-1mg-tablet", "Click Here")</f>
        <v/>
      </c>
      <c r="H24" t="inlineStr"/>
      <c r="I24" t="inlineStr"/>
    </row>
    <row r="25">
      <c r="A25" t="n">
        <v>204</v>
      </c>
      <c r="B25" t="inlineStr">
        <is>
          <t>Amaryl MV 2mg Tablet SR</t>
        </is>
      </c>
      <c r="C25">
        <f>HYPERLINK("https://www.1mg.com/drugs/amaryl-mv-2mg-tablet-sr-329225", "Click Here")</f>
        <v/>
      </c>
      <c r="D25" t="inlineStr"/>
      <c r="E25">
        <f>HYPERLINK("https://pharmeasy.in/online-medicine-order/amaryl-mv-2mg-tablet-24054", "Click Here")</f>
        <v/>
      </c>
      <c r="F25" t="inlineStr"/>
      <c r="G25">
        <f>HYPERLINK("https://www.apollopharmacy.in/medicine/amaryl-mv-2mg-tablet", "Click Here")</f>
        <v/>
      </c>
      <c r="H25" t="inlineStr"/>
      <c r="I25" t="inlineStr"/>
    </row>
    <row r="26">
      <c r="A26" t="n">
        <v>205</v>
      </c>
      <c r="B26" t="inlineStr">
        <is>
          <t>Ambistryn-S 0.75gm Injection</t>
        </is>
      </c>
      <c r="C26">
        <f>HYPERLINK("https://www.1mg.com/drugs/ambistryn-s-0.75gm-injection-35780", "Click Here")</f>
        <v/>
      </c>
      <c r="D26" t="inlineStr"/>
      <c r="E26">
        <f>HYPERLINK("https://pharmeasy.in/online-medicine-order/noveltreat-1-7mg-pre-filled-pen-of-0-75ml-solution-for-injection-pack-of-2--4736699", "Click Here")</f>
        <v/>
      </c>
      <c r="F26" t="inlineStr"/>
      <c r="G26" t="inlineStr">
        <is>
          <t>N/A</t>
        </is>
      </c>
      <c r="H26" t="inlineStr"/>
      <c r="I26" t="inlineStr"/>
    </row>
    <row r="27">
      <c r="A27" t="n">
        <v>206</v>
      </c>
      <c r="B27" t="inlineStr">
        <is>
          <t>Ambrodil Syrup</t>
        </is>
      </c>
      <c r="C27">
        <f>HYPERLINK("https://www.1mg.com/drugs/ambrodil-syrup-141454", "Click Here")</f>
        <v/>
      </c>
      <c r="D27" t="inlineStr"/>
      <c r="E27">
        <f>HYPERLINK("https://pharmeasy.in/online-medicine-order/ambrodil-s-syp-100ml-34161", "Click Here")</f>
        <v/>
      </c>
      <c r="F27" t="inlineStr"/>
      <c r="G27">
        <f>HYPERLINK("https://www.apollopharmacy.in/medicine/ambrodil-syrup-100ml", "Click Here")</f>
        <v/>
      </c>
      <c r="H27" t="inlineStr"/>
      <c r="I27" t="inlineStr"/>
    </row>
    <row r="28">
      <c r="A28" t="n">
        <v>207</v>
      </c>
      <c r="B28" t="inlineStr">
        <is>
          <t>Ambrodil-LX Syrup</t>
        </is>
      </c>
      <c r="C28">
        <f>HYPERLINK("https://www.1mg.com/drugs/ambrodil-lx-syrup-164207", "Click Here")</f>
        <v/>
      </c>
      <c r="D28" t="inlineStr"/>
      <c r="E28">
        <f>HYPERLINK("https://pharmeasy.in/online-medicine-order/ambrodil-lx-syp-3793", "Click Here")</f>
        <v/>
      </c>
      <c r="F28" t="inlineStr"/>
      <c r="G28">
        <f>HYPERLINK("https://www.apollopharmacy.in/medicine/ambrodil-lx-syrup-100ml", "Click Here")</f>
        <v/>
      </c>
      <c r="H28" t="inlineStr"/>
      <c r="I28" t="inlineStr"/>
    </row>
    <row r="29">
      <c r="A29" t="n">
        <v>208</v>
      </c>
      <c r="B29" t="inlineStr">
        <is>
          <t>Ambrodil-Plus RF Syrup</t>
        </is>
      </c>
      <c r="C29">
        <f>HYPERLINK("https://www.1mg.com/drugs/ambrodil-plus-rf-syrup-340760", "Click Here")</f>
        <v/>
      </c>
      <c r="D29" t="inlineStr"/>
      <c r="E29" t="inlineStr">
        <is>
          <t>N/A</t>
        </is>
      </c>
      <c r="F29" t="inlineStr"/>
      <c r="G29">
        <f>HYPERLINK("https://www.apollopharmacy.in/medicine/ambrodil-plus-rf-syrup-100ml", "Click Here")</f>
        <v/>
      </c>
      <c r="H29" t="inlineStr"/>
      <c r="I29" t="inlineStr"/>
    </row>
    <row r="30">
      <c r="A30" t="n">
        <v>209</v>
      </c>
      <c r="B30" t="inlineStr">
        <is>
          <t>Ambrodil-S Syrup</t>
        </is>
      </c>
      <c r="C30">
        <f>HYPERLINK("https://www.1mg.com/drugs/ambrodil-s-syrup-161343", "Click Here")</f>
        <v/>
      </c>
      <c r="D30" t="inlineStr"/>
      <c r="E30">
        <f>HYPERLINK("https://pharmeasy.in/online-medicine-order/ambrodil-s-syp-100ml-34161", "Click Here")</f>
        <v/>
      </c>
      <c r="F30" t="inlineStr"/>
      <c r="G30">
        <f>HYPERLINK("https://www.apollopharmacy.in/medicine/ambrodil-s-syrup-100ml", "Click Here")</f>
        <v/>
      </c>
      <c r="H30" t="inlineStr"/>
      <c r="I30" t="inlineStr"/>
    </row>
    <row r="31">
      <c r="A31" t="n">
        <v>210</v>
      </c>
      <c r="B31" t="inlineStr">
        <is>
          <t>Ambrodil-XP Syrup</t>
        </is>
      </c>
      <c r="C31">
        <f>HYPERLINK("https://www.1mg.com/drugs/ambrodil-xp-syrup-154375", "Click Here")</f>
        <v/>
      </c>
      <c r="D31" t="inlineStr"/>
      <c r="E31">
        <f>HYPERLINK("https://pharmeasy.in/online-medicine-order/planokuf-xp-syp-100ml-24529", "Click Here")</f>
        <v/>
      </c>
      <c r="F31" t="inlineStr"/>
      <c r="G31">
        <f>HYPERLINK("https://www.apollopharmacy.in/medicine/ambrodil-xp-syrup-100-ml", "Click Here")</f>
        <v/>
      </c>
      <c r="H31" t="inlineStr"/>
      <c r="I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211</v>
      </c>
      <c r="B2" t="inlineStr">
        <is>
          <t>Ambrolite D Syrup</t>
        </is>
      </c>
      <c r="C2">
        <f>HYPERLINK("https://www.1mg.com/drugs/ambrolite-d-syrup-653991", "Click Here")</f>
        <v/>
      </c>
      <c r="D2" t="inlineStr"/>
      <c r="E2">
        <f>HYPERLINK("https://pharmeasy.in/online-medicine-order/ambrolite-d-syp-100ml-34172", "Click Here")</f>
        <v/>
      </c>
      <c r="F2" t="inlineStr"/>
      <c r="G2">
        <f>HYPERLINK("https://www.apollopharmacy.in/medicine/ambrolite-syrup-100ml", "Click Here")</f>
        <v/>
      </c>
      <c r="H2" t="inlineStr"/>
      <c r="I2" t="inlineStr"/>
    </row>
    <row r="3">
      <c r="A3" t="n">
        <v>212</v>
      </c>
      <c r="B3" t="inlineStr">
        <is>
          <t>Ambrolite Levo Syrup</t>
        </is>
      </c>
      <c r="C3">
        <f>HYPERLINK("https://www.1mg.com/drugs/ambrolite-levo-syrup-63238", "Click Here")</f>
        <v/>
      </c>
      <c r="D3" t="inlineStr"/>
      <c r="E3">
        <f>HYPERLINK("https://pharmeasy.in/online-medicine-order/ambrolite-levo-syp-100ml-34171",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213</v>
      </c>
      <c r="B4" t="inlineStr">
        <is>
          <t>Ambrolite Syrup</t>
        </is>
      </c>
      <c r="C4">
        <f>HYPERLINK("https://www.1mg.com/drugs/ambrolite-syrup-145273", "Click Here")</f>
        <v/>
      </c>
      <c r="D4" t="inlineStr"/>
      <c r="E4">
        <f>HYPERLINK("https://pharmeasy.in/online-medicine-order/ambrolite-syp-100ml-34168", "Click Here")</f>
        <v/>
      </c>
      <c r="F4" t="inlineStr"/>
      <c r="G4">
        <f>HYPERLINK("https://www.apollopharmacy.in/medicine/ambrolite-syrup-100ml", "Click Here")</f>
        <v/>
      </c>
      <c r="H4" t="inlineStr"/>
      <c r="I4" t="inlineStr"/>
    </row>
    <row r="5">
      <c r="A5" t="n">
        <v>214</v>
      </c>
      <c r="B5" t="inlineStr">
        <is>
          <t>Ambrolite-S Expectorant</t>
        </is>
      </c>
      <c r="C5">
        <f>HYPERLINK("https://www.1mg.com/drugs/ambrolite-s-expectorant-63241", "Click Here")</f>
        <v/>
      </c>
      <c r="D5" t="inlineStr"/>
      <c r="E5">
        <f>HYPERLINK("https://pharmeasy.in/online-medicine-order/ambrolite-s-expectorant-100ml-42421", "Click Here")</f>
        <v/>
      </c>
      <c r="F5" t="inlineStr"/>
      <c r="G5">
        <f>HYPERLINK("https://www.apollopharmacy.in/medicine/ambrolite-s-sf-sugar-free-expectorant-syrup-100-ml", "Click Here")</f>
        <v/>
      </c>
      <c r="H5" t="inlineStr"/>
      <c r="I5" t="inlineStr"/>
    </row>
    <row r="6">
      <c r="A6" t="n">
        <v>215</v>
      </c>
      <c r="B6" t="inlineStr">
        <is>
          <t>Ambulax M Tablet</t>
        </is>
      </c>
      <c r="C6">
        <f>HYPERLINK("https://www.1mg.com/drugs/ambulax-m-tablet-325361", "Click Here")</f>
        <v/>
      </c>
      <c r="D6" t="inlineStr"/>
      <c r="E6">
        <f>HYPERLINK("https://pharmeasy.in/online-medicine-order/ambulax-m-strip-of-15-tablets-28044", "Click Here")</f>
        <v/>
      </c>
      <c r="F6" t="inlineStr"/>
      <c r="G6">
        <f>HYPERLINK("https://www.apollopharmacy.in/medicine/ambulax-m-tablet", "Click Here")</f>
        <v/>
      </c>
      <c r="H6" t="inlineStr"/>
      <c r="I6" t="inlineStr"/>
    </row>
    <row r="7">
      <c r="A7" t="n">
        <v>216</v>
      </c>
      <c r="B7" t="inlineStr">
        <is>
          <t>Ambulax Tablet</t>
        </is>
      </c>
      <c r="C7">
        <f>HYPERLINK("https://www.1mg.com/drugs/ambulax-tablet-290104", "Click Here")</f>
        <v/>
      </c>
      <c r="D7" t="inlineStr"/>
      <c r="E7">
        <f>HYPERLINK("https://pharmeasy.in/online-medicine-order/ambulax-m-strip-of-15-tablets-28044", "Click Here")</f>
        <v/>
      </c>
      <c r="F7" t="inlineStr"/>
      <c r="G7">
        <f>HYPERLINK("https://www.apollopharmacy.in/medicine/ambulax-et-tablet-15-s", "Click Here")</f>
        <v/>
      </c>
      <c r="H7" t="inlineStr"/>
      <c r="I7" t="inlineStr"/>
    </row>
    <row r="8">
      <c r="A8" t="n">
        <v>217</v>
      </c>
      <c r="B8" t="inlineStr">
        <is>
          <t>Ambulax-ET Tablet</t>
        </is>
      </c>
      <c r="C8">
        <f>HYPERLINK("https://www.1mg.com/drugs/ambulax-et-tablet-147907", "Click Here")</f>
        <v/>
      </c>
      <c r="D8" t="inlineStr"/>
      <c r="E8">
        <f>HYPERLINK("https://pharmeasy.in/online-medicine-order/mucotab-et-600mg-orange-flav-sf-tab-10-s-5452", "Click Here")</f>
        <v/>
      </c>
      <c r="F8" t="inlineStr"/>
      <c r="G8">
        <f>HYPERLINK("https://www.apollopharmacy.in/medicine/ambulax-et-tablet-15-s", "Click Here")</f>
        <v/>
      </c>
      <c r="H8" t="inlineStr"/>
      <c r="I8" t="inlineStr"/>
    </row>
    <row r="9">
      <c r="A9" t="n">
        <v>218</v>
      </c>
      <c r="B9" t="inlineStr">
        <is>
          <t>Amicet 5 mg/60 mg Tablet</t>
        </is>
      </c>
      <c r="C9">
        <f>HYPERLINK("https://www.1mg.com/drugs/amtas-5-tablet-399674", "Click Here")</f>
        <v/>
      </c>
      <c r="D9" t="inlineStr"/>
      <c r="E9" t="inlineStr">
        <is>
          <t>N/A</t>
        </is>
      </c>
      <c r="F9" t="inlineStr"/>
      <c r="G9" t="inlineStr">
        <is>
          <t>N/A</t>
        </is>
      </c>
      <c r="H9" t="inlineStr"/>
      <c r="I9" t="inlineStr"/>
    </row>
    <row r="10">
      <c r="A10" t="n">
        <v>219</v>
      </c>
      <c r="B10" t="inlineStr">
        <is>
          <t>Amicline Plus Tablet</t>
        </is>
      </c>
      <c r="C10">
        <f>HYPERLINK("https://www.1mg.com/drugs/amicline-plus-tablet-68810", "Click Here")</f>
        <v/>
      </c>
      <c r="D10" t="inlineStr"/>
      <c r="E10">
        <f>HYPERLINK("https://pharmeasy.in/online-medicine-order/amicline-plus-tablet-34266", "Click Here")</f>
        <v/>
      </c>
      <c r="F10" t="inlineStr"/>
      <c r="G10">
        <f>HYPERLINK("https://www.apollopharmacy.in/medicine/amicline-plus-tablet", "Click Here")</f>
        <v/>
      </c>
      <c r="H10" t="inlineStr"/>
      <c r="I10" t="inlineStr"/>
    </row>
    <row r="11">
      <c r="A11" t="n">
        <v>220</v>
      </c>
      <c r="B11" t="inlineStr">
        <is>
          <t>Amicline Tablet</t>
        </is>
      </c>
      <c r="C11">
        <f>HYPERLINK("https://www.1mg.com/drugs/amicline-tablet-39511", "Click Here")</f>
        <v/>
      </c>
      <c r="D11" t="inlineStr"/>
      <c r="E11">
        <f>HYPERLINK("https://pharmeasy.in/online-medicine-order/amicline-500mg-tablet-34267", "Click Here")</f>
        <v/>
      </c>
      <c r="F11" t="inlineStr"/>
      <c r="G11">
        <f>HYPERLINK("https://www.apollopharmacy.in/medicine/amicline-500mg-tablet", "Click Here")</f>
        <v/>
      </c>
      <c r="H11" t="inlineStr"/>
      <c r="I11" t="inlineStr"/>
    </row>
    <row r="12">
      <c r="A12" t="n">
        <v>221</v>
      </c>
      <c r="B12" t="inlineStr">
        <is>
          <t>Amicobal 10mg/1500mcg Tablet</t>
        </is>
      </c>
      <c r="C12">
        <f>HYPERLINK("https://www.1mg.com/drugs/amicobal-tr-10mg-1500mcg-tablet-1003073", "Click Here")</f>
        <v/>
      </c>
      <c r="D12" t="inlineStr"/>
      <c r="E12" t="inlineStr">
        <is>
          <t>N/A</t>
        </is>
      </c>
      <c r="F12" t="inlineStr"/>
      <c r="G12" t="inlineStr">
        <is>
          <t>N/A</t>
        </is>
      </c>
      <c r="H12" t="inlineStr"/>
      <c r="I12" t="inlineStr"/>
    </row>
    <row r="13">
      <c r="A13" t="n">
        <v>222</v>
      </c>
      <c r="B13" t="inlineStr">
        <is>
          <t>Amicon 10 Tablet</t>
        </is>
      </c>
      <c r="C13">
        <f>HYPERLINK("https://www.1mg.com/drugs/amicon-10-tablet-122390", "Click Here")</f>
        <v/>
      </c>
      <c r="D13" t="inlineStr"/>
      <c r="E13" t="inlineStr">
        <is>
          <t>N/A</t>
        </is>
      </c>
      <c r="F13" t="inlineStr"/>
      <c r="G13">
        <f>HYPERLINK("https://www.apollopharmacy.in/medicine/amicon-10mg-tablet", "Click Here")</f>
        <v/>
      </c>
      <c r="H13" t="inlineStr"/>
      <c r="I13" t="inlineStr"/>
    </row>
    <row r="14">
      <c r="A14" t="n">
        <v>223</v>
      </c>
      <c r="B14" t="inlineStr">
        <is>
          <t>Amifru 40 Tablet</t>
        </is>
      </c>
      <c r="C14">
        <f>HYPERLINK("https://www.1mg.com/drugs/amifru-40-tablet-220178", "Click Here")</f>
        <v/>
      </c>
      <c r="D14" t="inlineStr"/>
      <c r="E14">
        <f>HYPERLINK("https://pharmeasy.in/online-medicine-order/amifru-40mg-tablet-34274", "Click Here")</f>
        <v/>
      </c>
      <c r="F14" t="inlineStr"/>
      <c r="G14">
        <f>HYPERLINK("https://www.apollopharmacy.in/medicine/amifru-40mg-tablet", "Click Here")</f>
        <v/>
      </c>
      <c r="H14" t="inlineStr"/>
      <c r="I14" t="inlineStr"/>
    </row>
    <row r="15">
      <c r="A15" t="n">
        <v>224</v>
      </c>
      <c r="B15" t="inlineStr">
        <is>
          <t>Amitone 10mg Tablet</t>
        </is>
      </c>
      <c r="C15">
        <f>HYPERLINK("https://www.1mg.com/drugs/amitone-10mg-tablet-43621", "Click Here")</f>
        <v/>
      </c>
      <c r="D15" t="inlineStr"/>
      <c r="E15" t="inlineStr">
        <is>
          <t>N/A</t>
        </is>
      </c>
      <c r="F15" t="inlineStr"/>
      <c r="G15">
        <f>HYPERLINK("https://www.apollopharmacy.in/medicine/amitone-10mg-tablet", "Click Here")</f>
        <v/>
      </c>
      <c r="H15" t="inlineStr"/>
      <c r="I15" t="inlineStr"/>
    </row>
    <row r="16">
      <c r="A16" t="n">
        <v>225</v>
      </c>
      <c r="B16" t="inlineStr">
        <is>
          <t>Amitone 25mg Tablet</t>
        </is>
      </c>
      <c r="C16">
        <f>HYPERLINK("https://www.1mg.com/drugs/amitone-25mg-tablet-43666", "Click Here")</f>
        <v/>
      </c>
      <c r="D16" t="inlineStr"/>
      <c r="E16">
        <f>HYPERLINK("https://pharmeasy.in/online-medicine-order/azitone-250mg-tab-78657", "Click Here")</f>
        <v/>
      </c>
      <c r="F16" t="inlineStr"/>
      <c r="G16">
        <f>HYPERLINK("https://www.apollopharmacy.in/medicine/amitone-25mg-tablet", "Click Here")</f>
        <v/>
      </c>
      <c r="H16" t="inlineStr"/>
      <c r="I16" t="inlineStr"/>
    </row>
    <row r="17">
      <c r="A17" t="n">
        <v>226</v>
      </c>
      <c r="B17" t="inlineStr">
        <is>
          <t>Amitone Plus Tablet</t>
        </is>
      </c>
      <c r="C17">
        <f>HYPERLINK("https://www.1mg.com/drugs/amitone-plus-tablet-147945", "Click Here")</f>
        <v/>
      </c>
      <c r="D17" t="inlineStr"/>
      <c r="E17" t="inlineStr">
        <is>
          <t>N/A</t>
        </is>
      </c>
      <c r="F17" t="inlineStr"/>
      <c r="G17">
        <f>HYPERLINK("https://www.apollopharmacy.in/medicine/amitone-plus-5mg-tablet", "Click Here")</f>
        <v/>
      </c>
      <c r="H17" t="inlineStr"/>
      <c r="I17" t="inlineStr"/>
    </row>
    <row r="18">
      <c r="A18" t="n">
        <v>227</v>
      </c>
      <c r="B18" t="inlineStr">
        <is>
          <t>Amitop 10 Tablet</t>
        </is>
      </c>
      <c r="C18">
        <f>HYPERLINK("https://www.1mg.com/drugs/amitop-10-tablet-43675", "Click Here")</f>
        <v/>
      </c>
      <c r="D18" t="inlineStr"/>
      <c r="E18" t="inlineStr">
        <is>
          <t>N/A</t>
        </is>
      </c>
      <c r="F18" t="inlineStr"/>
      <c r="G18">
        <f>HYPERLINK("https://www.apollopharmacy.in/medicine/amitop-10mg-tablet", "Click Here")</f>
        <v/>
      </c>
      <c r="H18" t="inlineStr"/>
      <c r="I18" t="inlineStr"/>
    </row>
    <row r="19">
      <c r="A19" t="n">
        <v>228</v>
      </c>
      <c r="B19" t="inlineStr">
        <is>
          <t>Amitriptyline Hcl 25mg Tablet</t>
        </is>
      </c>
      <c r="C19" t="inlineStr">
        <is>
          <t>N/A</t>
        </is>
      </c>
      <c r="D19" t="inlineStr"/>
      <c r="E19" t="inlineStr">
        <is>
          <t>N/A</t>
        </is>
      </c>
      <c r="F19" t="inlineStr"/>
      <c r="G19" t="inlineStr">
        <is>
          <t>N/A</t>
        </is>
      </c>
      <c r="H19" t="inlineStr"/>
      <c r="I19" t="inlineStr"/>
    </row>
    <row r="20">
      <c r="A20" t="n">
        <v>229</v>
      </c>
      <c r="B20" t="inlineStr">
        <is>
          <t>Amitryn 10 Tablet</t>
        </is>
      </c>
      <c r="C20">
        <f>HYPERLINK("https://www.1mg.com/drugs/amitryn-10-tablet-43667", "Click Here")</f>
        <v/>
      </c>
      <c r="D20" t="inlineStr"/>
      <c r="E20">
        <f>HYPERLINK("https://pharmeasy.in/online-medicine-order/tryptomer-g-100mg-tab-113106", "Click Here")</f>
        <v/>
      </c>
      <c r="F20" t="inlineStr"/>
      <c r="G20">
        <f>HYPERLINK("https://www.apollopharmacy.in/medicine/amitryn-10mg-tablet", "Click Here")</f>
        <v/>
      </c>
      <c r="H20" t="inlineStr"/>
      <c r="I20" t="inlineStr"/>
    </row>
    <row r="21">
      <c r="A21" t="n">
        <v>230</v>
      </c>
      <c r="B21" t="inlineStr">
        <is>
          <t>Amixide 10mg Tablet</t>
        </is>
      </c>
      <c r="C21">
        <f>HYPERLINK("https://www.1mg.com/drugs/anozith-500mg-tablet-727700", "Click Here")</f>
        <v/>
      </c>
      <c r="D21" t="inlineStr"/>
      <c r="E21">
        <f>HYPERLINK("https://pharmeasy.in/online-medicine-order/amixide-5mg-tablet-34364", "Click Here")</f>
        <v/>
      </c>
      <c r="F21" t="inlineStr"/>
      <c r="G21">
        <f>HYPERLINK("https://www.apollopharmacy.in/medicine/amixide-10mg-tablet", "Click Here")</f>
        <v/>
      </c>
      <c r="H21" t="inlineStr"/>
      <c r="I21" t="inlineStr"/>
    </row>
    <row r="22">
      <c r="A22" t="n">
        <v>231</v>
      </c>
      <c r="B22" t="inlineStr">
        <is>
          <t>Amixide-H Tablet</t>
        </is>
      </c>
      <c r="C22" t="inlineStr">
        <is>
          <t>N/A</t>
        </is>
      </c>
      <c r="D22" t="inlineStr"/>
      <c r="E22">
        <f>HYPERLINK("https://pharmeasy.in/online-medicine-order/amix-h-tablet-10-3108798", "Click Here")</f>
        <v/>
      </c>
      <c r="F22" t="inlineStr"/>
      <c r="G22" t="inlineStr">
        <is>
          <t>N/A</t>
        </is>
      </c>
      <c r="H22" t="inlineStr"/>
      <c r="I22" t="inlineStr"/>
    </row>
    <row r="23">
      <c r="A23" t="n">
        <v>232</v>
      </c>
      <c r="B23" t="inlineStr">
        <is>
          <t>Amlip 5 Tablet</t>
        </is>
      </c>
      <c r="C23">
        <f>HYPERLINK("https://www.1mg.com/drugs/amlip-5-tablet-43925", "Click Here")</f>
        <v/>
      </c>
      <c r="D23" t="inlineStr"/>
      <c r="E23" t="inlineStr">
        <is>
          <t>N/A</t>
        </is>
      </c>
      <c r="F23" t="inlineStr"/>
      <c r="G23" t="inlineStr">
        <is>
          <t>N/A</t>
        </is>
      </c>
      <c r="H23" t="inlineStr"/>
      <c r="I23" t="inlineStr"/>
    </row>
    <row r="24">
      <c r="A24" t="n">
        <v>233</v>
      </c>
      <c r="B24" t="inlineStr">
        <is>
          <t>Amlip AT Tablet</t>
        </is>
      </c>
      <c r="C24">
        <f>HYPERLINK("https://www.1mg.com/drugs/amlip-at-tablet-161507", "Click Here")</f>
        <v/>
      </c>
      <c r="D24" t="inlineStr"/>
      <c r="E24" t="inlineStr">
        <is>
          <t>N/A</t>
        </is>
      </c>
      <c r="F24" t="inlineStr"/>
      <c r="G24">
        <f>HYPERLINK("https://www.apollopharmacy.in/medicine/amlip-at-tablet", "Click Here")</f>
        <v/>
      </c>
      <c r="H24" t="inlineStr"/>
      <c r="I24" t="inlineStr"/>
    </row>
    <row r="25">
      <c r="A25" t="n">
        <v>234</v>
      </c>
      <c r="B25" t="inlineStr">
        <is>
          <t>Amlo 5mg Tablet</t>
        </is>
      </c>
      <c r="C25">
        <f>HYPERLINK("https://www.1mg.com/drugs/amlo-5mg-tablet-43975", "Click Here")</f>
        <v/>
      </c>
      <c r="D25" t="inlineStr"/>
      <c r="E25" t="inlineStr">
        <is>
          <t>N/A</t>
        </is>
      </c>
      <c r="F25" t="inlineStr"/>
      <c r="G25">
        <f>HYPERLINK("https://www.apollopharmacy.in/medicine/amlo-dalcare-t-80-tablet", "Click Here")</f>
        <v/>
      </c>
      <c r="H25" t="inlineStr"/>
      <c r="I25" t="inlineStr"/>
    </row>
    <row r="26">
      <c r="A26" t="n">
        <v>235</v>
      </c>
      <c r="B26" t="inlineStr">
        <is>
          <t>Amlodac 2.5 Tablet</t>
        </is>
      </c>
      <c r="C26">
        <f>HYPERLINK("https://www.1mg.com/drugs/amlodac-2.5-tablet-367298", "Click Here")</f>
        <v/>
      </c>
      <c r="D26" t="inlineStr"/>
      <c r="E26">
        <f>HYPERLINK("https://pharmeasy.in/online-medicine-order/amlodac-2-5mg-strip-of-30-tablets-175974", "Click Here")</f>
        <v/>
      </c>
      <c r="F26" t="inlineStr"/>
      <c r="G26" t="inlineStr">
        <is>
          <t>N/A</t>
        </is>
      </c>
      <c r="H26" t="inlineStr"/>
      <c r="I26" t="inlineStr"/>
    </row>
    <row r="27">
      <c r="A27" t="n">
        <v>236</v>
      </c>
      <c r="B27" t="inlineStr">
        <is>
          <t>Amlodac 5 Tablet</t>
        </is>
      </c>
      <c r="C27">
        <f>HYPERLINK("https://www.1mg.com/drugs/amlodac-5-tablet-369858", "Click Here")</f>
        <v/>
      </c>
      <c r="D27" t="inlineStr"/>
      <c r="E27">
        <f>HYPERLINK("https://pharmeasy.in/online-medicine-order/amlodac-5mg-strip-of-30-tablets-191384", "Click Here")</f>
        <v/>
      </c>
      <c r="F27" t="inlineStr"/>
      <c r="G27">
        <f>HYPERLINK("https://www.apollopharmacy.in/medicine/amlodac-5mg-tablet-30-s", "Click Here")</f>
        <v/>
      </c>
      <c r="H27" t="inlineStr"/>
      <c r="I27" t="inlineStr"/>
    </row>
    <row r="28">
      <c r="A28" t="n">
        <v>237</v>
      </c>
      <c r="B28" t="inlineStr">
        <is>
          <t>Amlogard 5mg Tablet</t>
        </is>
      </c>
      <c r="C28">
        <f>HYPERLINK("https://www.1mg.com/drugs/amlogard-5mg-tablet-135741", "Click Here")</f>
        <v/>
      </c>
      <c r="D28" t="inlineStr"/>
      <c r="E28">
        <f>HYPERLINK("https://pharmeasy.in/online-medicine-order/amlogard-5mg-strip-of-30-tablets-21921", "Click Here")</f>
        <v/>
      </c>
      <c r="F28" t="inlineStr"/>
      <c r="G28">
        <f>HYPERLINK("https://www.apollopharmacy.in/medicine/amlogard-5mg-tablet", "Click Here")</f>
        <v/>
      </c>
      <c r="H28" t="inlineStr"/>
      <c r="I28" t="inlineStr"/>
    </row>
    <row r="29">
      <c r="A29" t="n">
        <v>238</v>
      </c>
      <c r="B29" t="inlineStr">
        <is>
          <t>Amlokind 2.5 Tablet</t>
        </is>
      </c>
      <c r="C29">
        <f>HYPERLINK("https://www.1mg.com/drugs/amlokind-2.5-tablet-347453", "Click Here")</f>
        <v/>
      </c>
      <c r="D29" t="inlineStr"/>
      <c r="E29">
        <f>HYPERLINK("https://pharmeasy.in/online-medicine-order/amlokind-2-5mg-strip-of-30-tablets-18584", "Click Here")</f>
        <v/>
      </c>
      <c r="F29" t="inlineStr"/>
      <c r="G29">
        <f>HYPERLINK("https://www.apollopharmacy.in/medicine/amlokind-2-5mg-tablet", "Click Here")</f>
        <v/>
      </c>
      <c r="H29" t="inlineStr"/>
      <c r="I29" t="inlineStr"/>
    </row>
    <row r="30">
      <c r="A30" t="n">
        <v>239</v>
      </c>
      <c r="B30" t="inlineStr">
        <is>
          <t>Amlokind 5 Tablet</t>
        </is>
      </c>
      <c r="C30" t="inlineStr">
        <is>
          <t>N/A</t>
        </is>
      </c>
      <c r="D30" t="inlineStr"/>
      <c r="E30">
        <f>HYPERLINK("https://pharmeasy.in/online-medicine-order/amlokind-5mg-strip-of-15-tablets-3136186", "Click Here")</f>
        <v/>
      </c>
      <c r="F30" t="inlineStr"/>
      <c r="G30" t="inlineStr">
        <is>
          <t>N/A</t>
        </is>
      </c>
      <c r="H30" t="inlineStr"/>
      <c r="I30" t="inlineStr"/>
    </row>
    <row r="31">
      <c r="A31" t="n">
        <v>240</v>
      </c>
      <c r="B31" t="inlineStr">
        <is>
          <t>Amlokind-AT Tablet</t>
        </is>
      </c>
      <c r="C31">
        <f>HYPERLINK("https://www.1mg.com/drugs/amlokind-at-tablet-648536", "Click Here")</f>
        <v/>
      </c>
      <c r="D31" t="inlineStr"/>
      <c r="E31">
        <f>HYPERLINK("https://pharmeasy.in/online-medicine-order/amlokind-at-5-50mg-strip-of-15-tablets-3121621", "Click Here")</f>
        <v/>
      </c>
      <c r="F31" t="inlineStr"/>
      <c r="G31">
        <f>HYPERLINK("https://www.apollopharmacy.in/medicine/amlokind-at-5-50-tablets-15-s", "Click Here")</f>
        <v/>
      </c>
      <c r="H31" t="inlineStr"/>
      <c r="I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241</v>
      </c>
      <c r="B2" t="inlineStr">
        <is>
          <t>Amlokind-H Tablet</t>
        </is>
      </c>
      <c r="C2">
        <f>HYPERLINK("https://www.1mg.com/drugs/amlokind-h-tablet-63265", "Click Here")</f>
        <v/>
      </c>
      <c r="D2" t="inlineStr"/>
      <c r="E2">
        <f>HYPERLINK("https://pharmeasy.in/online-medicine-order/amlokind-h-tablet-18214", "Click Here")</f>
        <v/>
      </c>
      <c r="F2" t="inlineStr"/>
      <c r="G2">
        <f>HYPERLINK("https://www.apollopharmacy.in/medicine/amlokind-h-tablet", "Click Here")</f>
        <v/>
      </c>
      <c r="H2" t="inlineStr"/>
      <c r="I2" t="inlineStr"/>
    </row>
    <row r="3">
      <c r="A3" t="n">
        <v>242</v>
      </c>
      <c r="B3" t="inlineStr">
        <is>
          <t>Amlong 10 Tablet</t>
        </is>
      </c>
      <c r="C3">
        <f>HYPERLINK("https://www.1mg.com/drugs/amlong-10-tablet-143677", "Click Here")</f>
        <v/>
      </c>
      <c r="D3" t="inlineStr"/>
      <c r="E3">
        <f>HYPERLINK("https://pharmeasy.in/online-medicine-order/amlong-a-25mg-tablet-34452",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243</v>
      </c>
      <c r="B4" t="inlineStr">
        <is>
          <t>Amlong 2.5 Tablet</t>
        </is>
      </c>
      <c r="C4">
        <f>HYPERLINK("https://www.1mg.com/drugs/amlong-2.5-tablet-122886", "Click Here")</f>
        <v/>
      </c>
      <c r="D4" t="inlineStr"/>
      <c r="E4">
        <f>HYPERLINK("https://pharmeasy.in/online-medicine-order/amlong-2-5mg-strip-of-15-tablets-19904", "Click Here")</f>
        <v/>
      </c>
      <c r="F4" t="inlineStr"/>
      <c r="G4">
        <f>HYPERLINK("https://www.apollopharmacy.in/medicine/amlong-mt-25mg-tablet", "Click Here")</f>
        <v/>
      </c>
      <c r="H4" t="inlineStr"/>
      <c r="I4" t="inlineStr"/>
    </row>
    <row r="5">
      <c r="A5" t="n">
        <v>244</v>
      </c>
      <c r="B5" t="inlineStr">
        <is>
          <t>Amlong Tablet</t>
        </is>
      </c>
      <c r="C5">
        <f>HYPERLINK("https://www.1mg.com/drugs/amlong-tablet-792551", "Click Here")</f>
        <v/>
      </c>
      <c r="D5" t="inlineStr"/>
      <c r="E5">
        <f>HYPERLINK("https://pharmeasy.in/online-medicine-order/amlong-5mg-strip-of-30-tablets-3817966", "Click Here")</f>
        <v/>
      </c>
      <c r="F5" t="inlineStr"/>
      <c r="G5">
        <f>HYPERLINK("https://www.apollopharmacy.in/medicine/amlong-5mg-tablet", "Click Here")</f>
        <v/>
      </c>
      <c r="H5" t="inlineStr"/>
      <c r="I5" t="inlineStr"/>
    </row>
    <row r="6">
      <c r="A6" t="n">
        <v>245</v>
      </c>
      <c r="B6" t="inlineStr">
        <is>
          <t>Amlong-A Tablet</t>
        </is>
      </c>
      <c r="C6">
        <f>HYPERLINK("https://www.1mg.com/drugs/amlong-a-tablet-68820", "Click Here")</f>
        <v/>
      </c>
      <c r="D6" t="inlineStr"/>
      <c r="E6">
        <f>HYPERLINK("https://pharmeasy.in/online-medicine-order/amlong-a-5-50mg-tab-15-s-34448", "Click Here")</f>
        <v/>
      </c>
      <c r="F6" t="inlineStr"/>
      <c r="G6" t="inlineStr">
        <is>
          <t>N/A</t>
        </is>
      </c>
      <c r="H6" t="inlineStr"/>
      <c r="I6" t="inlineStr"/>
    </row>
    <row r="7">
      <c r="A7" t="n">
        <v>246</v>
      </c>
      <c r="B7" t="inlineStr">
        <is>
          <t>Amlong-H Tablet</t>
        </is>
      </c>
      <c r="C7">
        <f>HYPERLINK("https://www.1mg.com/drugs/amlong-h-tablet-277251", "Click Here")</f>
        <v/>
      </c>
      <c r="D7" t="inlineStr"/>
      <c r="E7">
        <f>HYPERLINK("https://pharmeasy.in/online-medicine-order/amlong-h-strip-of-15-tablets-19942", "Click Here")</f>
        <v/>
      </c>
      <c r="F7" t="inlineStr"/>
      <c r="G7">
        <f>HYPERLINK("https://www.apollopharmacy.in/medicine/amlong-h-tablet", "Click Here")</f>
        <v/>
      </c>
      <c r="H7" t="inlineStr"/>
      <c r="I7" t="inlineStr"/>
    </row>
    <row r="8">
      <c r="A8" t="n">
        <v>247</v>
      </c>
      <c r="B8" t="inlineStr">
        <is>
          <t>Amlopin 5 Tablet</t>
        </is>
      </c>
      <c r="C8">
        <f>HYPERLINK("https://www.1mg.com/drugs/amlopin-5-tablet-43985", "Click Here")</f>
        <v/>
      </c>
      <c r="D8" t="inlineStr"/>
      <c r="E8">
        <f>HYPERLINK("https://pharmeasy.in/online-medicine-order/amlopin-5mg-strip-of-10-tablets-34459", "Click Here")</f>
        <v/>
      </c>
      <c r="F8" t="inlineStr"/>
      <c r="G8">
        <f>HYPERLINK("https://www.apollopharmacy.in/medicine/amlopin-5mg-tablet", "Click Here")</f>
        <v/>
      </c>
      <c r="H8" t="inlineStr"/>
      <c r="I8" t="inlineStr"/>
    </row>
    <row r="9">
      <c r="A9" t="n">
        <v>248</v>
      </c>
      <c r="B9" t="inlineStr">
        <is>
          <t>Amlopin-M Tablet PR</t>
        </is>
      </c>
      <c r="C9">
        <f>HYPERLINK("https://www.1mg.com/drugs/amlopin-m-tablet-pr-143650", "Click Here")</f>
        <v/>
      </c>
      <c r="D9" t="inlineStr"/>
      <c r="E9">
        <f>HYPERLINK("https://pharmeasy.in/online-medicine-order/amlopin-m-50mg-tablet-28412", "Click Here")</f>
        <v/>
      </c>
      <c r="F9" t="inlineStr"/>
      <c r="G9">
        <f>HYPERLINK("https://www.apollopharmacy.in/medicine/amlopin-m-50mg-tablet", "Click Here")</f>
        <v/>
      </c>
      <c r="H9" t="inlineStr"/>
      <c r="I9" t="inlineStr"/>
    </row>
    <row r="10">
      <c r="A10" t="n">
        <v>249</v>
      </c>
      <c r="B10" t="inlineStr">
        <is>
          <t>Amlopres 5 Tablet</t>
        </is>
      </c>
      <c r="C10">
        <f>HYPERLINK("https://www.1mg.com/drugs/amlopres-5-tablet-530530", "Click Here")</f>
        <v/>
      </c>
      <c r="D10" t="inlineStr"/>
      <c r="E10">
        <f>HYPERLINK("https://pharmeasy.in/online-medicine-order/amlopres-5mg-tablet-30-s-226180", "Click Here")</f>
        <v/>
      </c>
      <c r="F10" t="inlineStr"/>
      <c r="G10">
        <f>HYPERLINK("https://www.apollopharmacy.in/medicine/amlopres-5mg-tablet-30-s", "Click Here")</f>
        <v/>
      </c>
      <c r="H10" t="inlineStr"/>
      <c r="I10" t="inlineStr"/>
    </row>
    <row r="11">
      <c r="A11" t="n">
        <v>250</v>
      </c>
      <c r="B11" t="inlineStr">
        <is>
          <t>Amlopres AT 25 Tablet</t>
        </is>
      </c>
      <c r="C11">
        <f>HYPERLINK("https://www.1mg.com/drugs/amlopres-at-25-tablet-121796", "Click Here")</f>
        <v/>
      </c>
      <c r="D11" t="inlineStr"/>
      <c r="E11">
        <f>HYPERLINK("https://pharmeasy.in/online-medicine-order/amlopres-at-25mg-strip-of-15-tablets-34456", "Click Here")</f>
        <v/>
      </c>
      <c r="F11" t="inlineStr"/>
      <c r="G11">
        <f>HYPERLINK("https://www.apollopharmacy.in/medicine/amlopres-at-25mg-tablet", "Click Here")</f>
        <v/>
      </c>
      <c r="H11" t="inlineStr"/>
      <c r="I11" t="inlineStr"/>
    </row>
    <row r="12">
      <c r="A12" t="n">
        <v>251</v>
      </c>
      <c r="B12" t="inlineStr">
        <is>
          <t>Amlopres TL Tablet</t>
        </is>
      </c>
      <c r="C12">
        <f>HYPERLINK("https://www.1mg.com/drugs/amlopres-tl-tablet-385132", "Click Here")</f>
        <v/>
      </c>
      <c r="D12" t="inlineStr"/>
      <c r="E12">
        <f>HYPERLINK("https://pharmeasy.in/online-medicine-order/amlopres-tl-strip-of-15-tablets-192845", "Click Here")</f>
        <v/>
      </c>
      <c r="F12" t="inlineStr"/>
      <c r="G12">
        <f>HYPERLINK("https://www.apollopharmacy.in/medicine/amlopres-tl-tablet-15-s", "Click Here")</f>
        <v/>
      </c>
      <c r="H12" t="inlineStr"/>
      <c r="I12" t="inlineStr"/>
    </row>
    <row r="13">
      <c r="A13" t="n">
        <v>252</v>
      </c>
      <c r="B13" t="inlineStr">
        <is>
          <t>Amlopres-AT Tablet</t>
        </is>
      </c>
      <c r="C13">
        <f>HYPERLINK("https://www.1mg.com/drugs/amlopres-at-tablet-63274", "Click Here")</f>
        <v/>
      </c>
      <c r="D13" t="inlineStr"/>
      <c r="E13">
        <f>HYPERLINK("https://pharmeasy.in/online-medicine-order/amlopres-at-50mg-strip-of-15-tablets-34467", "Click Here")</f>
        <v/>
      </c>
      <c r="F13" t="inlineStr"/>
      <c r="G13">
        <f>HYPERLINK("https://www.apollopharmacy.in/medicine/amlopres-at-50mg-tablet", "Click Here")</f>
        <v/>
      </c>
      <c r="H13" t="inlineStr"/>
      <c r="I13" t="inlineStr"/>
    </row>
    <row r="14">
      <c r="A14" t="n">
        <v>253</v>
      </c>
      <c r="B14" t="inlineStr">
        <is>
          <t>Amlosafe 3D Tablet</t>
        </is>
      </c>
      <c r="C14">
        <f>HYPERLINK("https://www.1mg.com/drugs/amlosafe-3d-tablet-201874", "Click Here")</f>
        <v/>
      </c>
      <c r="D14" t="inlineStr"/>
      <c r="E14">
        <f>HYPERLINK("https://pharmeasy.in/online-medicine-order/amlosafe-3d-tablet-3797", "Click Here")</f>
        <v/>
      </c>
      <c r="F14" t="inlineStr"/>
      <c r="G14">
        <f>HYPERLINK("https://www.apollopharmacy.in/medicine/amlosafe-3d-tablet-7-s", "Click Here")</f>
        <v/>
      </c>
      <c r="H14" t="inlineStr"/>
      <c r="I14" t="inlineStr"/>
    </row>
    <row r="15">
      <c r="A15" t="n">
        <v>254</v>
      </c>
      <c r="B15" t="inlineStr">
        <is>
          <t>Amlosafe TM 40 Tablet</t>
        </is>
      </c>
      <c r="C15" t="inlineStr">
        <is>
          <t>N/A</t>
        </is>
      </c>
      <c r="D15" t="inlineStr"/>
      <c r="E15">
        <f>HYPERLINK("https://pharmeasy.in/online-medicine-order/amlosafe-tm-40mg-tablet-3795", "Click Here")</f>
        <v/>
      </c>
      <c r="F15" t="inlineStr"/>
      <c r="G15">
        <f>HYPERLINK("https://www.apollopharmacy.in/medicine/amlosafe-tm-40mg-tablet", "Click Here")</f>
        <v/>
      </c>
      <c r="H15" t="inlineStr"/>
      <c r="I15" t="inlineStr"/>
    </row>
    <row r="16">
      <c r="A16" t="n">
        <v>255</v>
      </c>
      <c r="B16" t="inlineStr">
        <is>
          <t>Amlosafe-AT Tablet</t>
        </is>
      </c>
      <c r="C16">
        <f>HYPERLINK("https://www.1mg.com/drugs/amlosafe-at-tablet-719792", "Click Here")</f>
        <v/>
      </c>
      <c r="D16" t="inlineStr"/>
      <c r="E16">
        <f>HYPERLINK("https://pharmeasy.in/online-medicine-order/amlosafe-at-strip-of-15-tablets-3631590", "Click Here")</f>
        <v/>
      </c>
      <c r="F16" t="inlineStr"/>
      <c r="G16">
        <f>HYPERLINK("https://www.apollopharmacy.in/medicine/amlosafe-at-5-50mg-tab-15-s", "Click Here")</f>
        <v/>
      </c>
      <c r="H16" t="inlineStr"/>
      <c r="I16" t="inlineStr"/>
    </row>
    <row r="17">
      <c r="A17" t="n">
        <v>256</v>
      </c>
      <c r="B17" t="inlineStr">
        <is>
          <t>Amlovas 2.5 Tablet</t>
        </is>
      </c>
      <c r="C17">
        <f>HYPERLINK("https://www.1mg.com/drugs/amlovas-2.5-tablet-134441", "Click Here")</f>
        <v/>
      </c>
      <c r="D17" t="inlineStr"/>
      <c r="E17">
        <f>HYPERLINK("https://pharmeasy.in/online-medicine-order/amlovas-2-5mg-strip-of-15-tablets-34495", "Click Here")</f>
        <v/>
      </c>
      <c r="F17" t="inlineStr"/>
      <c r="G17">
        <f>HYPERLINK("https://www.apollopharmacy.in/medicine/amlovas-at-25mg-tablet", "Click Here")</f>
        <v/>
      </c>
      <c r="H17" t="inlineStr"/>
      <c r="I17" t="inlineStr"/>
    </row>
    <row r="18">
      <c r="A18" t="n">
        <v>257</v>
      </c>
      <c r="B18" t="inlineStr">
        <is>
          <t>Amlovas 5 Tablet</t>
        </is>
      </c>
      <c r="C18">
        <f>HYPERLINK("https://www.1mg.com/drugs/amlovas-5-tablet-135645", "Click Here")</f>
        <v/>
      </c>
      <c r="D18" t="inlineStr"/>
      <c r="E18">
        <f>HYPERLINK("https://pharmeasy.in/online-medicine-order/amlovas-5mg-strip-of-15-tablets-34501", "Click Here")</f>
        <v/>
      </c>
      <c r="F18" t="inlineStr"/>
      <c r="G18">
        <f>HYPERLINK("https://www.apollopharmacy.in/medicine/amlovas-5mg-tablet", "Click Here")</f>
        <v/>
      </c>
      <c r="H18" t="inlineStr"/>
      <c r="I18" t="inlineStr"/>
    </row>
    <row r="19">
      <c r="A19" t="n">
        <v>258</v>
      </c>
      <c r="B19" t="inlineStr">
        <is>
          <t>Amlovas-AT Tablet</t>
        </is>
      </c>
      <c r="C19" t="inlineStr">
        <is>
          <t>N/A</t>
        </is>
      </c>
      <c r="D19" t="inlineStr"/>
      <c r="E19">
        <f>HYPERLINK("https://pharmeasy.in/online-medicine-order/amlovas-at-50mg-strip-of-15-tablets-34503", "Click Here")</f>
        <v/>
      </c>
      <c r="F19" t="inlineStr"/>
      <c r="G19">
        <f>HYPERLINK("https://www.apollopharmacy.in/medicine/amlovas-at-50mg-tablet", "Click Here")</f>
        <v/>
      </c>
      <c r="H19" t="inlineStr"/>
      <c r="I19" t="inlineStr"/>
    </row>
    <row r="20">
      <c r="A20" t="n">
        <v>259</v>
      </c>
      <c r="B20" t="inlineStr">
        <is>
          <t>Amlovas-M 5/50 Tablet PR</t>
        </is>
      </c>
      <c r="C20" t="inlineStr">
        <is>
          <t>N/A</t>
        </is>
      </c>
      <c r="D20" t="inlineStr"/>
      <c r="E20">
        <f>HYPERLINK("https://pharmeasy.in/online-medicine-order/amlovas-m-5-50mg-tablet-34508", "Click Here")</f>
        <v/>
      </c>
      <c r="F20" t="inlineStr"/>
      <c r="G20" t="inlineStr">
        <is>
          <t>N/A</t>
        </is>
      </c>
      <c r="H20" t="inlineStr"/>
      <c r="I20" t="inlineStr"/>
    </row>
    <row r="21">
      <c r="A21" t="n">
        <v>260</v>
      </c>
      <c r="B21" t="inlineStr">
        <is>
          <t>Amlozaar Tablet</t>
        </is>
      </c>
      <c r="C21">
        <f>HYPERLINK("https://www.1mg.com/drugs/amlozaar-tablet-786585", "Click Here")</f>
        <v/>
      </c>
      <c r="D21" t="inlineStr"/>
      <c r="E21">
        <f>HYPERLINK("https://pharmeasy.in/online-medicine-order/amlozaar-h-strip-of-15-tablets-3805821", "Click Here")</f>
        <v/>
      </c>
      <c r="F21" t="inlineStr"/>
      <c r="G21">
        <f>HYPERLINK("https://www.apollopharmacy.in/medicine/amlozaar-tablet", "Click Here")</f>
        <v/>
      </c>
      <c r="H21" t="inlineStr"/>
      <c r="I21" t="inlineStr"/>
    </row>
    <row r="22">
      <c r="A22" t="n">
        <v>261</v>
      </c>
      <c r="B22" t="inlineStr">
        <is>
          <t>Amlozaar-H Tablet</t>
        </is>
      </c>
      <c r="C22">
        <f>HYPERLINK("https://www.1mg.com/drugs/amlozaar-h-tablet-786589", "Click Here")</f>
        <v/>
      </c>
      <c r="D22" t="inlineStr"/>
      <c r="E22">
        <f>HYPERLINK("https://pharmeasy.in/online-medicine-order/amlozaar-h-strip-of-15-tablets-3805821", "Click Here")</f>
        <v/>
      </c>
      <c r="F22" t="inlineStr"/>
      <c r="G22">
        <f>HYPERLINK("https://www.apollopharmacy.in/medicine/amlozaar-h-tablet-15-s", "Click Here")</f>
        <v/>
      </c>
      <c r="H22" t="inlineStr"/>
      <c r="I22" t="inlineStr"/>
    </row>
    <row r="23">
      <c r="A23" t="n">
        <v>262</v>
      </c>
      <c r="B23" t="inlineStr">
        <is>
          <t>Amnurite  5 mg/1500 mcg Tablet</t>
        </is>
      </c>
      <c r="C23" t="inlineStr">
        <is>
          <t>N/A</t>
        </is>
      </c>
      <c r="D23" t="inlineStr"/>
      <c r="E23" t="inlineStr">
        <is>
          <t>N/A</t>
        </is>
      </c>
      <c r="F23" t="inlineStr"/>
      <c r="G23">
        <f>HYPERLINK("https://www.apollopharmacy.in/medicine/amnurite-5mg-tablet-10-s", "Click Here")</f>
        <v/>
      </c>
      <c r="H23" t="inlineStr"/>
      <c r="I23" t="inlineStr"/>
    </row>
    <row r="24">
      <c r="A24" t="n">
        <v>263</v>
      </c>
      <c r="B24" t="inlineStr">
        <is>
          <t>Amox 500mg Capsule</t>
        </is>
      </c>
      <c r="C24">
        <f>HYPERLINK("https://www.1mg.com/drugs/amox-500mg-capsule-44812", "Click Here")</f>
        <v/>
      </c>
      <c r="D24" t="inlineStr"/>
      <c r="E24" t="inlineStr">
        <is>
          <t>N/A</t>
        </is>
      </c>
      <c r="F24" t="inlineStr"/>
      <c r="G24">
        <f>HYPERLINK("https://www.apollopharmacy.in/medicine/e-amox-500mg-capsule", "Click Here")</f>
        <v/>
      </c>
      <c r="H24" t="inlineStr"/>
      <c r="I24" t="inlineStr"/>
    </row>
    <row r="25">
      <c r="A25" t="n">
        <v>264</v>
      </c>
      <c r="B25" t="inlineStr">
        <is>
          <t>Amoxclav 500 mg/125 mg Tablet</t>
        </is>
      </c>
      <c r="C25" t="inlineStr">
        <is>
          <t>N/A</t>
        </is>
      </c>
      <c r="D25" t="inlineStr"/>
      <c r="E25" t="inlineStr">
        <is>
          <t>N/A</t>
        </is>
      </c>
      <c r="F25" t="inlineStr"/>
      <c r="G25" t="inlineStr">
        <is>
          <t>N/A</t>
        </is>
      </c>
      <c r="H25" t="inlineStr"/>
      <c r="I25" t="inlineStr"/>
    </row>
    <row r="26">
      <c r="A26" t="n">
        <v>265</v>
      </c>
      <c r="B26" t="inlineStr">
        <is>
          <t>Amoxicillin</t>
        </is>
      </c>
      <c r="C26">
        <f>HYPERLINK("https://www.1mg.com/drugs/alkem-amoxicillin-250mg-capsule-275872", "Click Here")</f>
        <v/>
      </c>
      <c r="D26" t="inlineStr"/>
      <c r="E26" t="inlineStr">
        <is>
          <t>N/A</t>
        </is>
      </c>
      <c r="F26" t="inlineStr"/>
      <c r="G26" t="inlineStr">
        <is>
          <t>N/A</t>
        </is>
      </c>
      <c r="H26" t="inlineStr"/>
      <c r="I26" t="inlineStr"/>
    </row>
    <row r="27">
      <c r="A27" t="n">
        <v>266</v>
      </c>
      <c r="B27" t="inlineStr">
        <is>
          <t>Amoxy 500mg Capsule</t>
        </is>
      </c>
      <c r="C27">
        <f>HYPERLINK("https://www.1mg.com/drugs/amoxy-500mg-capsule-147993", "Click Here")</f>
        <v/>
      </c>
      <c r="D27" t="inlineStr"/>
      <c r="E27" t="inlineStr">
        <is>
          <t>N/A</t>
        </is>
      </c>
      <c r="F27" t="inlineStr"/>
      <c r="G27">
        <f>HYPERLINK("https://www.apollopharmacy.in/medicine/hy-amoxy-500-mg-capsule-10-s", "Click Here")</f>
        <v/>
      </c>
      <c r="H27" t="inlineStr"/>
      <c r="I27" t="inlineStr"/>
    </row>
    <row r="28">
      <c r="A28" t="n">
        <v>267</v>
      </c>
      <c r="B28" t="inlineStr">
        <is>
          <t>Amoxycillin 125mg Oral Suspension</t>
        </is>
      </c>
      <c r="C28">
        <f>HYPERLINK("https://www.1mg.com/drugs/macfast-125-oral-suspension-157021", "Click Here")</f>
        <v/>
      </c>
      <c r="D28" t="inlineStr"/>
      <c r="E28">
        <f>HYPERLINK("https://pharmeasy.in/online-medicine-order/amoxyclav-625mg-tab-10-s-214164", "Click Here")</f>
        <v/>
      </c>
      <c r="F28" t="inlineStr"/>
      <c r="G28">
        <f>HYPERLINK("https://www.apollopharmacy.in/medicine/amoxycillin-125mg-oral-suspension", "Click Here")</f>
        <v/>
      </c>
      <c r="H28" t="inlineStr"/>
      <c r="I28" t="inlineStr"/>
    </row>
    <row r="29">
      <c r="A29" t="n">
        <v>268</v>
      </c>
      <c r="B29" t="inlineStr">
        <is>
          <t>Amoxyclav 375 Tablet</t>
        </is>
      </c>
      <c r="C29">
        <f>HYPERLINK("https://www.1mg.com/drugs/amoxyclav-375-tablet-349279", "Click Here")</f>
        <v/>
      </c>
      <c r="D29" t="inlineStr"/>
      <c r="E29">
        <f>HYPERLINK("https://pharmeasy.in/online-medicine-order/amoxyclav-375-mg-tablet-10-202448", "Click Here")</f>
        <v/>
      </c>
      <c r="F29" t="inlineStr"/>
      <c r="G29">
        <f>HYPERLINK("https://www.apollopharmacy.in/medicine/amoxyclav-375mg-tab-10-s", "Click Here")</f>
        <v/>
      </c>
      <c r="H29" t="inlineStr"/>
      <c r="I29" t="inlineStr"/>
    </row>
    <row r="30">
      <c r="A30" t="n">
        <v>269</v>
      </c>
      <c r="B30" t="inlineStr">
        <is>
          <t>Amoxyclav 625 Tablet</t>
        </is>
      </c>
      <c r="C30">
        <f>HYPERLINK("https://www.1mg.com/drugs/amoxyclav-625-tablet-491614", "Click Here")</f>
        <v/>
      </c>
      <c r="D30" t="inlineStr"/>
      <c r="E30" t="inlineStr">
        <is>
          <t>N/A</t>
        </is>
      </c>
      <c r="F30" t="inlineStr"/>
      <c r="G30">
        <f>HYPERLINK("https://www.apollopharmacy.in/medicine/amoxyclav-625mg-tablet-10-s", "Click Here")</f>
        <v/>
      </c>
      <c r="H30" t="inlineStr"/>
      <c r="I30" t="inlineStr"/>
    </row>
    <row r="31">
      <c r="A31" t="n">
        <v>270</v>
      </c>
      <c r="B31" t="inlineStr">
        <is>
          <t>Ampilox Capsule</t>
        </is>
      </c>
      <c r="C31">
        <f>HYPERLINK("https://www.1mg.com/drugs/ampilox-capsule-641060", "Click Here")</f>
        <v/>
      </c>
      <c r="D31" t="inlineStr"/>
      <c r="E31">
        <f>HYPERLINK("https://pharmeasy.in/online-medicine-order/ampilox-strip-of-15-capsules-2934014", "Click Here")</f>
        <v/>
      </c>
      <c r="F31" t="inlineStr"/>
      <c r="G31">
        <f>HYPERLINK("https://www.apollopharmacy.in/medicine/ampilox-250-250mg-capsule-15-s", "Click Here")</f>
        <v/>
      </c>
      <c r="H31" t="inlineStr"/>
      <c r="I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271</v>
      </c>
      <c r="B2" t="inlineStr">
        <is>
          <t>Ampilox DS Tablet</t>
        </is>
      </c>
      <c r="C2">
        <f>HYPERLINK("https://www.1mg.com/drugs/ampilox-ds-tablet-289245", "Click Here")</f>
        <v/>
      </c>
      <c r="D2" t="inlineStr"/>
      <c r="E2">
        <f>HYPERLINK("https://pharmeasy.in/online-medicine-order/ampilox-ds-strip-of-10-tablets-34629", "Click Here")</f>
        <v/>
      </c>
      <c r="F2" t="inlineStr"/>
      <c r="G2">
        <f>HYPERLINK("https://www.apollopharmacy.in/medicine/ampilox-d-s-tablet-10-s", "Click Here")</f>
        <v/>
      </c>
      <c r="H2" t="inlineStr"/>
      <c r="I2" t="inlineStr"/>
    </row>
    <row r="3">
      <c r="A3" t="n">
        <v>272</v>
      </c>
      <c r="B3" t="inlineStr">
        <is>
          <t>Amplinak Opthalmic Suspension</t>
        </is>
      </c>
      <c r="C3" t="inlineStr">
        <is>
          <t>N/A</t>
        </is>
      </c>
      <c r="D3" t="inlineStr"/>
      <c r="E3" t="inlineStr">
        <is>
          <t>N/A</t>
        </is>
      </c>
      <c r="F3" t="inlineStr"/>
      <c r="G3">
        <f>HYPERLINK("https://www.apollopharmacy.in/medicine/amplinak-1mg-ml-opth-suspension-5ml", "Click Here")</f>
        <v/>
      </c>
      <c r="H3" t="inlineStr"/>
      <c r="I3" t="inlineStr"/>
    </row>
    <row r="4">
      <c r="A4" t="n">
        <v>273</v>
      </c>
      <c r="B4" t="inlineStr">
        <is>
          <t>Ampoxin 250 Capsule</t>
        </is>
      </c>
      <c r="C4">
        <f>HYPERLINK("https://www.1mg.com/drugs/ampoxin-250-capsule-123587", "Click Here")</f>
        <v/>
      </c>
      <c r="D4" t="inlineStr"/>
      <c r="E4">
        <f>HYPERLINK("https://pharmeasy.in/online-medicine-order/ampoxin-250mg-strip-of-15-capsules-34657", "Click Here")</f>
        <v/>
      </c>
      <c r="F4" t="inlineStr"/>
      <c r="G4">
        <f>HYPERLINK("https://www.apollopharmacy.in/medicine/ampoxin-250mg-capsule", "Click Here")</f>
        <v/>
      </c>
      <c r="H4" t="inlineStr"/>
      <c r="I4" t="inlineStr"/>
    </row>
    <row r="5">
      <c r="A5" t="n">
        <v>274</v>
      </c>
      <c r="B5" t="inlineStr">
        <is>
          <t>Ampoxin 500 Capsule</t>
        </is>
      </c>
      <c r="C5">
        <f>HYPERLINK("https://www.1mg.com/drugs/ampoxin-500-capsule-63311", "Click Here")</f>
        <v/>
      </c>
      <c r="D5" t="inlineStr"/>
      <c r="E5">
        <f>HYPERLINK("https://pharmeasy.in/online-medicine-order/ampoxin-500mg-strip-of-15-capsules-34659", "Click Here")</f>
        <v/>
      </c>
      <c r="F5" t="inlineStr"/>
      <c r="G5" t="inlineStr">
        <is>
          <t>N/A</t>
        </is>
      </c>
      <c r="H5" t="inlineStr"/>
      <c r="I5" t="inlineStr"/>
    </row>
    <row r="6">
      <c r="A6" t="n">
        <v>275</v>
      </c>
      <c r="B6" t="inlineStr">
        <is>
          <t>Amrolstar Cream</t>
        </is>
      </c>
      <c r="C6">
        <f>HYPERLINK("https://www.1mg.com/drugs/amrolstar-cream-453732", "Click Here")</f>
        <v/>
      </c>
      <c r="D6" t="inlineStr"/>
      <c r="E6" t="inlineStr">
        <is>
          <t>N/A</t>
        </is>
      </c>
      <c r="F6" t="inlineStr"/>
      <c r="G6">
        <f>HYPERLINK("https://www.apollopharmacy.in/medicine/amrolstar-0-25-w-w-cream-10g", "Click Here")</f>
        <v/>
      </c>
      <c r="H6" t="inlineStr"/>
      <c r="I6" t="inlineStr"/>
    </row>
    <row r="7">
      <c r="A7" t="n">
        <v>276</v>
      </c>
      <c r="B7" t="inlineStr">
        <is>
          <t>Amrolstar Nail Lacquer</t>
        </is>
      </c>
      <c r="C7">
        <f>HYPERLINK("https://www.1mg.com/drugs/amrolstar-nail-lacquer-556252", "Click Here")</f>
        <v/>
      </c>
      <c r="D7" t="inlineStr"/>
      <c r="E7">
        <f>HYPERLINK("https://pharmeasy.in/online-medicine-order/nailon-nail-lacquer-5ml-3416", "Click Here")</f>
        <v/>
      </c>
      <c r="F7" t="inlineStr"/>
      <c r="G7">
        <f>HYPERLINK("https://www.apollopharmacy.in/medicine/amrolstar-5-w-v-nail-lacquer-2-5ml", "Click Here")</f>
        <v/>
      </c>
      <c r="H7" t="inlineStr"/>
      <c r="I7" t="inlineStr"/>
    </row>
    <row r="8">
      <c r="A8" t="n">
        <v>277</v>
      </c>
      <c r="B8" t="inlineStr">
        <is>
          <t>Amrox Junior Syrup</t>
        </is>
      </c>
      <c r="C8">
        <f>HYPERLINK("https://www.1mg.com/drugs/amrox-junior-syrup-346422", "Click Here")</f>
        <v/>
      </c>
      <c r="D8" t="inlineStr"/>
      <c r="E8">
        <f>HYPERLINK("https://pharmeasy.in/online-medicine-order/amrox-junior-syp-118429", "Click Here")</f>
        <v/>
      </c>
      <c r="F8" t="inlineStr"/>
      <c r="G8">
        <f>HYPERLINK("https://www.apollopharmacy.in/medicine/amrox-junior-60ml-syp", "Click Here")</f>
        <v/>
      </c>
      <c r="H8" t="inlineStr"/>
      <c r="I8" t="inlineStr"/>
    </row>
    <row r="9">
      <c r="A9" t="n">
        <v>278</v>
      </c>
      <c r="B9" t="inlineStr">
        <is>
          <t>Amrox-LS Syrup</t>
        </is>
      </c>
      <c r="C9">
        <f>HYPERLINK("https://www.1mg.com/drugs/amrox-ls-syrup-542964", "Click Here")</f>
        <v/>
      </c>
      <c r="D9" t="inlineStr"/>
      <c r="E9">
        <f>HYPERLINK("https://pharmeasy.in/online-medicine-order/amrox-ls-syp-100ml-180524", "Click Here")</f>
        <v/>
      </c>
      <c r="F9" t="inlineStr"/>
      <c r="G9">
        <f>HYPERLINK("https://www.apollopharmacy.in/medicine/amrox-ls-syrup-100ml", "Click Here")</f>
        <v/>
      </c>
      <c r="H9" t="inlineStr"/>
      <c r="I9" t="inlineStr"/>
    </row>
    <row r="10">
      <c r="A10" t="n">
        <v>279</v>
      </c>
      <c r="B10" t="inlineStr">
        <is>
          <t>Amtas 5 Tablet</t>
        </is>
      </c>
      <c r="C10">
        <f>HYPERLINK("https://www.1mg.com/drugs/amtas-5-tablet-399674", "Click Here")</f>
        <v/>
      </c>
      <c r="D10" t="inlineStr"/>
      <c r="E10">
        <f>HYPERLINK("https://pharmeasy.in/online-medicine-order/amtas-5mg-strip-of-30-tablets-34719", "Click Here")</f>
        <v/>
      </c>
      <c r="F10" t="inlineStr"/>
      <c r="G10">
        <f>HYPERLINK("https://www.apollopharmacy.in/medicine/amtas-5mg-tablet-15-s", "Click Here")</f>
        <v/>
      </c>
      <c r="H10" t="inlineStr"/>
      <c r="I10" t="inlineStr"/>
    </row>
    <row r="11">
      <c r="A11" t="n">
        <v>280</v>
      </c>
      <c r="B11" t="inlineStr">
        <is>
          <t>Amtas-AT Tablet</t>
        </is>
      </c>
      <c r="C11" t="inlineStr">
        <is>
          <t>N/A</t>
        </is>
      </c>
      <c r="D11" t="inlineStr"/>
      <c r="E11">
        <f>HYPERLINK("https://pharmeasy.in/online-medicine-order/amtas-at-strip-of-15-tablets-34724", "Click Here")</f>
        <v/>
      </c>
      <c r="F11" t="inlineStr"/>
      <c r="G11">
        <f>HYPERLINK("https://www.apollopharmacy.in/medicine/amtas-at-50mg-tablet", "Click Here")</f>
        <v/>
      </c>
      <c r="H11" t="inlineStr"/>
      <c r="I11" t="inlineStr"/>
    </row>
    <row r="12">
      <c r="A12" t="n">
        <v>281</v>
      </c>
      <c r="B12" t="inlineStr">
        <is>
          <t>Amtas-M 50 Tablet PR</t>
        </is>
      </c>
      <c r="C12">
        <f>HYPERLINK("https://www.1mg.com/drugs/amlovas-m-5-50-tablet-pr-122693", "Click Here")</f>
        <v/>
      </c>
      <c r="D12" t="inlineStr"/>
      <c r="E12">
        <f>HYPERLINK("https://pharmeasy.in/online-medicine-order/amtas-m-50mg-strip-of-15-tablets-34715", "Click Here")</f>
        <v/>
      </c>
      <c r="F12" t="inlineStr"/>
      <c r="G12">
        <f>HYPERLINK("https://www.apollopharmacy.in/medicine/amtas-m-50mg-tablet", "Click Here")</f>
        <v/>
      </c>
      <c r="H12" t="inlineStr"/>
      <c r="I12" t="inlineStr"/>
    </row>
    <row r="13">
      <c r="A13" t="n">
        <v>282</v>
      </c>
      <c r="B13" t="inlineStr">
        <is>
          <t>Amyclox-LB Capsule</t>
        </is>
      </c>
      <c r="C13" t="inlineStr">
        <is>
          <t>N/A</t>
        </is>
      </c>
      <c r="D13" t="inlineStr"/>
      <c r="E13">
        <f>HYPERLINK("https://pharmeasy.in/online-medicine-order/amyclox-lb-strip-of-10-capsules-13103", "Click Here")</f>
        <v/>
      </c>
      <c r="F13" t="inlineStr"/>
      <c r="G13">
        <f>HYPERLINK("https://www.apollopharmacy.in/medicine/amyclox-lb-capsule", "Click Here")</f>
        <v/>
      </c>
      <c r="H13" t="inlineStr"/>
      <c r="I13" t="inlineStr"/>
    </row>
    <row r="14">
      <c r="A14" t="n">
        <v>283</v>
      </c>
      <c r="B14" t="inlineStr">
        <is>
          <t>Anabel Liquid Gel</t>
        </is>
      </c>
      <c r="C14">
        <f>HYPERLINK("https://www.1mg.com/drugs/anabel-liquid-gel-163739", "Click Here")</f>
        <v/>
      </c>
      <c r="D14" t="inlineStr"/>
      <c r="E14">
        <f>HYPERLINK("https://pharmeasy.in/online-medicine-order/anabel-bottle-of-15gm-liquid-gel-12270", "Click Here")</f>
        <v/>
      </c>
      <c r="F14" t="inlineStr"/>
      <c r="G14">
        <f>HYPERLINK("https://www.apollopharmacy.in/otc/anabel-cream-15gm", "Click Here")</f>
        <v/>
      </c>
      <c r="H14" t="inlineStr"/>
      <c r="I14" t="inlineStr"/>
    </row>
    <row r="15">
      <c r="A15" t="n">
        <v>284</v>
      </c>
      <c r="B15" t="inlineStr">
        <is>
          <t>Anabel-CT Gel</t>
        </is>
      </c>
      <c r="C15">
        <f>HYPERLINK("https://www.1mg.com/drugs/anabel-ct-gel-165872", "Click Here")</f>
        <v/>
      </c>
      <c r="D15" t="inlineStr"/>
      <c r="E15" t="inlineStr">
        <is>
          <t>N/A</t>
        </is>
      </c>
      <c r="F15" t="inlineStr"/>
      <c r="G15" t="inlineStr">
        <is>
          <t>N/A</t>
        </is>
      </c>
      <c r="H15" t="inlineStr"/>
      <c r="I15" t="inlineStr"/>
    </row>
    <row r="16">
      <c r="A16" t="n">
        <v>285</v>
      </c>
      <c r="B16" t="inlineStr">
        <is>
          <t>Anaflam TH  4  Tablet</t>
        </is>
      </c>
      <c r="C16" t="inlineStr">
        <is>
          <t>N/A</t>
        </is>
      </c>
      <c r="D16" t="inlineStr"/>
      <c r="E16">
        <f>HYPERLINK("https://pharmeasy.in/online-medicine-order/anaflam-th-4mg-tablet-1960", "Click Here")</f>
        <v/>
      </c>
      <c r="F16" t="inlineStr"/>
      <c r="G16" t="inlineStr">
        <is>
          <t>N/A</t>
        </is>
      </c>
      <c r="H16" t="inlineStr"/>
      <c r="I16" t="inlineStr"/>
    </row>
    <row r="17">
      <c r="A17" t="n">
        <v>286</v>
      </c>
      <c r="B17" t="inlineStr">
        <is>
          <t>Anafortan 25 mg/300 mg Tablet</t>
        </is>
      </c>
      <c r="C17" t="inlineStr">
        <is>
          <t>N/A</t>
        </is>
      </c>
      <c r="D17" t="inlineStr"/>
      <c r="E17" t="inlineStr">
        <is>
          <t>N/A</t>
        </is>
      </c>
      <c r="F17" t="inlineStr"/>
      <c r="G17" t="inlineStr">
        <is>
          <t>N/A</t>
        </is>
      </c>
      <c r="H17" t="inlineStr"/>
      <c r="I17" t="inlineStr"/>
    </row>
    <row r="18">
      <c r="A18" t="n">
        <v>287</v>
      </c>
      <c r="B18" t="inlineStr">
        <is>
          <t>Anafortan Syrup</t>
        </is>
      </c>
      <c r="C18">
        <f>HYPERLINK("https://www.1mg.com/drugs/anafortan-syrup-1049719", "Click Here")</f>
        <v/>
      </c>
      <c r="D18" t="inlineStr"/>
      <c r="E18">
        <f>HYPERLINK("https://pharmeasy.in/online-medicine-order/anafortan-bottle-of-100ml-syrup-4306086", "Click Here")</f>
        <v/>
      </c>
      <c r="F18" t="inlineStr"/>
      <c r="G18">
        <f>HYPERLINK("https://www.apollopharmacy.in/medicine/anafortan-syrup-100-ml", "Click Here")</f>
        <v/>
      </c>
      <c r="H18" t="inlineStr"/>
      <c r="I18" t="inlineStr"/>
    </row>
    <row r="19">
      <c r="A19" t="n">
        <v>288</v>
      </c>
      <c r="B19" t="inlineStr">
        <is>
          <t>Anafortan-MF 50mg/250mg Tablet</t>
        </is>
      </c>
      <c r="C19" t="inlineStr">
        <is>
          <t>N/A</t>
        </is>
      </c>
      <c r="D19" t="inlineStr"/>
      <c r="E19">
        <f>HYPERLINK("https://pharmeasy.in/online-medicine-order/anafortan-mf-tablet-34792", "Click Here")</f>
        <v/>
      </c>
      <c r="F19" t="inlineStr"/>
      <c r="G19" t="inlineStr">
        <is>
          <t>N/A</t>
        </is>
      </c>
      <c r="H19" t="inlineStr"/>
      <c r="I19" t="inlineStr"/>
    </row>
    <row r="20">
      <c r="A20" t="n">
        <v>289</v>
      </c>
      <c r="B20" t="inlineStr">
        <is>
          <t>Anaspas 25mg Injection</t>
        </is>
      </c>
      <c r="C20">
        <f>HYPERLINK("https://www.1mg.com/drugs/anaspas-25mg-injection-342323", "Click Here")</f>
        <v/>
      </c>
      <c r="D20" t="inlineStr"/>
      <c r="E20">
        <f>HYPERLINK("https://pharmeasy.in/online-medicine-order/anaspas-inj-2ml-68651", "Click Here")</f>
        <v/>
      </c>
      <c r="F20" t="inlineStr"/>
      <c r="G20">
        <f>HYPERLINK("https://www.apollopharmacy.in/medicine/anaspas-25mg-injection-2-ml", "Click Here")</f>
        <v/>
      </c>
      <c r="H20" t="inlineStr"/>
      <c r="I20" t="inlineStr"/>
    </row>
    <row r="21">
      <c r="A21" t="n">
        <v>290</v>
      </c>
      <c r="B21" t="inlineStr">
        <is>
          <t>Anawin Heavy 5mg Injection</t>
        </is>
      </c>
      <c r="C21" t="inlineStr">
        <is>
          <t>N/A</t>
        </is>
      </c>
      <c r="D21" t="inlineStr"/>
      <c r="E21">
        <f>HYPERLINK("https://pharmeasy.in/online-medicine-order/levo-anawin-0-5-ampoule-of-4ml-solution-for-injection-205295", "Click Here")</f>
        <v/>
      </c>
      <c r="F21" t="inlineStr"/>
      <c r="G21" t="inlineStr">
        <is>
          <t>N/A</t>
        </is>
      </c>
      <c r="H21" t="inlineStr"/>
      <c r="I21" t="inlineStr"/>
    </row>
    <row r="22">
      <c r="A22" t="n">
        <v>291</v>
      </c>
      <c r="B22" t="inlineStr">
        <is>
          <t>Andial 2mg Tablet</t>
        </is>
      </c>
      <c r="C22">
        <f>HYPERLINK("https://www.1mg.com/drugs/andial-2mg-tablet-16909", "Click Here")</f>
        <v/>
      </c>
      <c r="D22" t="inlineStr"/>
      <c r="E22">
        <f>HYPERLINK("https://pharmeasy.in/online-medicine-order/andial-2mg-tablet-34837", "Click Here")</f>
        <v/>
      </c>
      <c r="F22" t="inlineStr"/>
      <c r="G22">
        <f>HYPERLINK("https://www.apollopharmacy.in/medicine/andial-2mg-tablet", "Click Here")</f>
        <v/>
      </c>
      <c r="H22" t="inlineStr"/>
      <c r="I22" t="inlineStr"/>
    </row>
    <row r="23">
      <c r="A23" t="n">
        <v>292</v>
      </c>
      <c r="B23" t="inlineStr">
        <is>
          <t>Andre I-Kul Eye Drop</t>
        </is>
      </c>
      <c r="C23" t="inlineStr">
        <is>
          <t>N/A</t>
        </is>
      </c>
      <c r="D23" t="inlineStr"/>
      <c r="E23">
        <f>HYPERLINK("https://pharmeasy.in/online-medicine-order/andre-i-kul-nf-bottle-of-10ml-eye-drops-4398335", "Click Here")</f>
        <v/>
      </c>
      <c r="F23" t="inlineStr"/>
      <c r="G23">
        <f>HYPERLINK("https://www.apollopharmacy.in/medicine/andre-i-kul-nf-eye-drops-10ml", "Click Here")</f>
        <v/>
      </c>
      <c r="H23" t="inlineStr"/>
      <c r="I23" t="inlineStr"/>
    </row>
    <row r="24">
      <c r="A24" t="n">
        <v>293</v>
      </c>
      <c r="B24" t="inlineStr">
        <is>
          <t>Anfoe 10000IU Injection</t>
        </is>
      </c>
      <c r="C24">
        <f>HYPERLINK("https://www.1mg.com/drugs/anfoe-10000iu-ml-injection-139635", "Click Here")</f>
        <v/>
      </c>
      <c r="D24" t="inlineStr"/>
      <c r="E24">
        <f>HYPERLINK("https://pharmeasy.in/online-medicine-order/anfoe-10000iu-pre-filled-syringe-injection-1ml-16168", "Click Here")</f>
        <v/>
      </c>
      <c r="F24" t="inlineStr"/>
      <c r="G24">
        <f>HYPERLINK("https://www.apollopharmacy.in/medicine/anfoe-10000iu-injection-1-0ml", "Click Here")</f>
        <v/>
      </c>
      <c r="H24" t="inlineStr"/>
      <c r="I24" t="inlineStr"/>
    </row>
    <row r="25">
      <c r="A25" t="n">
        <v>294</v>
      </c>
      <c r="B25" t="inlineStr">
        <is>
          <t>Angicam-Beta Tablet</t>
        </is>
      </c>
      <c r="C25">
        <f>HYPERLINK("https://www.1mg.com/drugs/angicam-beta-tablet-371233", "Click Here")</f>
        <v/>
      </c>
      <c r="D25" t="inlineStr"/>
      <c r="E25">
        <f>HYPERLINK("https://pharmeasy.in/online-medicine-order/angicam-beta-strip-of-15-tablets-191654", "Click Here")</f>
        <v/>
      </c>
      <c r="F25" t="inlineStr"/>
      <c r="G25">
        <f>HYPERLINK("https://www.apollopharmacy.in/medicine/angicam-beta-tablet-15-s", "Click Here")</f>
        <v/>
      </c>
      <c r="H25" t="inlineStr"/>
      <c r="I25" t="inlineStr"/>
    </row>
    <row r="26">
      <c r="A26" t="n">
        <v>295</v>
      </c>
      <c r="B26" t="inlineStr">
        <is>
          <t>Angiplat 2.5 Capsule TR</t>
        </is>
      </c>
      <c r="C26">
        <f>HYPERLINK("https://www.1mg.com/drugs/angiplat-2.5-capsule-tr-1128943", "Click Here")</f>
        <v/>
      </c>
      <c r="D26" t="inlineStr"/>
      <c r="E26" t="inlineStr">
        <is>
          <t>N/A</t>
        </is>
      </c>
      <c r="F26" t="inlineStr"/>
      <c r="G26">
        <f>HYPERLINK("https://www.apollopharmacy.in/medicine/angiplat-2-5-capsule-30-s", "Click Here")</f>
        <v/>
      </c>
      <c r="H26" t="inlineStr"/>
      <c r="I26" t="inlineStr"/>
    </row>
    <row r="27">
      <c r="A27" t="n">
        <v>296</v>
      </c>
      <c r="B27" t="inlineStr">
        <is>
          <t>Angispan - TR 2.5mg Capsule</t>
        </is>
      </c>
      <c r="C27">
        <f>HYPERLINK("https://www.1mg.com/drugs/angispan-tr-2.5mg-capsule-986604", "Click Here")</f>
        <v/>
      </c>
      <c r="D27" t="inlineStr"/>
      <c r="E27">
        <f>HYPERLINK("https://pharmeasy.in/online-medicine-order/angispan-tr-2-5mg-bottle-of-30-capsules-4184103", "Click Here")</f>
        <v/>
      </c>
      <c r="F27" t="inlineStr"/>
      <c r="G27">
        <f>HYPERLINK("https://www.apollopharmacy.in/medicine/angispan-tr-2-5-mg-capsule-30-s", "Click Here")</f>
        <v/>
      </c>
      <c r="H27" t="inlineStr"/>
      <c r="I27" t="inlineStr"/>
    </row>
    <row r="28">
      <c r="A28" t="n">
        <v>297</v>
      </c>
      <c r="B28" t="inlineStr">
        <is>
          <t>Angiwell 2.6mg Tablet</t>
        </is>
      </c>
      <c r="C28">
        <f>HYPERLINK("https://www.1mg.com/drugs/angiwell-2.6mg-tablet-372597", "Click Here")</f>
        <v/>
      </c>
      <c r="D28" t="inlineStr"/>
      <c r="E28">
        <f>HYPERLINK("https://pharmeasy.in/online-medicine-order/angiwell-2-6mg-bottle-of-30-tablets-192253", "Click Here")</f>
        <v/>
      </c>
      <c r="F28" t="inlineStr"/>
      <c r="G28">
        <f>HYPERLINK("https://www.apollopharmacy.in/medicine/angiwell-cr-2-6mg-tablet-30-s", "Click Here")</f>
        <v/>
      </c>
      <c r="H28" t="inlineStr"/>
      <c r="I28" t="inlineStr"/>
    </row>
    <row r="29">
      <c r="A29" t="n">
        <v>298</v>
      </c>
      <c r="B29" t="inlineStr">
        <is>
          <t>Ano Metrogyl Cream</t>
        </is>
      </c>
      <c r="C29">
        <f>HYPERLINK("https://www.1mg.com/drugs/ano-metrogyl-cream-1118337", "Click Here")</f>
        <v/>
      </c>
      <c r="D29" t="inlineStr"/>
      <c r="E29">
        <f>HYPERLINK("https://pharmeasy.in/online-medicine-order/ano-metrogyl-tube-of-25gm-cream-4487480", "Click Here")</f>
        <v/>
      </c>
      <c r="F29" t="inlineStr"/>
      <c r="G29" t="inlineStr">
        <is>
          <t>N/A</t>
        </is>
      </c>
      <c r="H29" t="inlineStr"/>
      <c r="I29" t="inlineStr"/>
    </row>
    <row r="30">
      <c r="A30" t="n">
        <v>299</v>
      </c>
      <c r="B30" t="inlineStr">
        <is>
          <t>Anobliss Cream</t>
        </is>
      </c>
      <c r="C30" t="inlineStr">
        <is>
          <t>N/A</t>
        </is>
      </c>
      <c r="D30" t="inlineStr"/>
      <c r="E30" t="inlineStr">
        <is>
          <t>N/A</t>
        </is>
      </c>
      <c r="F30" t="inlineStr"/>
      <c r="G30">
        <f>HYPERLINK("https://www.apollopharmacy.in/medicine/anobliss-cream-30gm", "Click Here")</f>
        <v/>
      </c>
      <c r="H30" t="inlineStr"/>
      <c r="I30" t="inlineStr"/>
    </row>
    <row r="31">
      <c r="A31" t="n">
        <v>300</v>
      </c>
      <c r="B31" t="inlineStr">
        <is>
          <t>Anosum Cream</t>
        </is>
      </c>
      <c r="C31" t="inlineStr">
        <is>
          <t>N/A</t>
        </is>
      </c>
      <c r="D31" t="inlineStr"/>
      <c r="E31">
        <f>HYPERLINK("https://pharmeasy.in/online-medicine-order/anosum-cream-20gm-225709", "Click Here")</f>
        <v/>
      </c>
      <c r="F31" t="inlineStr"/>
      <c r="G31">
        <f>HYPERLINK("https://www.apollopharmacy.in/medicine/anosum-cream-20gm", "Click Here")</f>
        <v/>
      </c>
      <c r="H31" t="inlineStr"/>
      <c r="I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301</v>
      </c>
      <c r="B2" t="inlineStr">
        <is>
          <t>Anovate Cream</t>
        </is>
      </c>
      <c r="C2">
        <f>HYPERLINK("https://www.1mg.com/drugs/anovate-rectal-cream-63345", "Click Here")</f>
        <v/>
      </c>
      <c r="D2" t="inlineStr"/>
      <c r="E2">
        <f>HYPERLINK("https://pharmeasy.in/online-medicine-order/anovate-cream-20gm-34993", "Click Here")</f>
        <v/>
      </c>
      <c r="F2" t="inlineStr"/>
      <c r="G2">
        <f>HYPERLINK("https://www.apollopharmacy.in/medicine/anovate-ointment-20gm", "Click Here")</f>
        <v/>
      </c>
      <c r="H2" t="inlineStr"/>
      <c r="I2" t="inlineStr"/>
    </row>
    <row r="3">
      <c r="A3" t="n">
        <v>302</v>
      </c>
      <c r="B3" t="inlineStr">
        <is>
          <t>Antacid Tablet</t>
        </is>
      </c>
      <c r="C3">
        <f>HYPERLINK("https://www.1mg.com/drugs/antacid-tablet-463467", "Click Here")</f>
        <v/>
      </c>
      <c r="D3" t="inlineStr"/>
      <c r="E3">
        <f>HYPERLINK("https://pharmeasy.in/online-medicine-order/pantocid-40mg-strip-of-15-tablets-25758", "Click Here")</f>
        <v/>
      </c>
      <c r="F3" t="inlineStr"/>
      <c r="G3">
        <f>HYPERLINK("https://www.apollopharmacy.in/otc/apollo-pharmacy-antacid-antigas-liquid-mint-flavour-170-ml", "Click Here")</f>
        <v/>
      </c>
      <c r="H3" t="inlineStr"/>
      <c r="I3" t="inlineStr"/>
    </row>
    <row r="4">
      <c r="A4" t="n">
        <v>303</v>
      </c>
      <c r="B4" t="inlineStr">
        <is>
          <t>Anti-Thyrox 10 Tablet</t>
        </is>
      </c>
      <c r="C4">
        <f>HYPERLINK("https://www.1mg.com/drugs/anti-thyrox-10-tablet-116908", "Click Here")</f>
        <v/>
      </c>
      <c r="D4" t="inlineStr"/>
      <c r="E4">
        <f>HYPERLINK("https://pharmeasy.in/online-medicine-order/anti-thyrox-10mg-tablet-35031", "Click Here")</f>
        <v/>
      </c>
      <c r="F4" t="inlineStr"/>
      <c r="G4">
        <f>HYPERLINK("https://www.apollopharmacy.in/medicine/anti-thyrox-10mg-tablet", "Click Here")</f>
        <v/>
      </c>
      <c r="H4" t="inlineStr"/>
      <c r="I4" t="inlineStr"/>
    </row>
    <row r="5">
      <c r="A5" t="n">
        <v>304</v>
      </c>
      <c r="B5" t="inlineStr">
        <is>
          <t>AntiD 300mcg/ml Injection</t>
        </is>
      </c>
      <c r="C5">
        <f>HYPERLINK("https://www.1mg.com/drugs/antid-300mcg-ml-injection-944116", "Click Here")</f>
        <v/>
      </c>
      <c r="D5" t="inlineStr"/>
      <c r="E5" t="inlineStr">
        <is>
          <t>N/A</t>
        </is>
      </c>
      <c r="F5" t="inlineStr"/>
      <c r="G5" t="inlineStr">
        <is>
          <t>N/A</t>
        </is>
      </c>
      <c r="H5" t="inlineStr"/>
      <c r="I5" t="inlineStr"/>
    </row>
    <row r="6">
      <c r="A6" t="n">
        <v>305</v>
      </c>
      <c r="B6" t="inlineStr">
        <is>
          <t>Antidep 25mg Tablet</t>
        </is>
      </c>
      <c r="C6">
        <f>HYPERLINK("https://www.1mg.com/drugs/antidep-25mg-tablet-14392", "Click Here")</f>
        <v/>
      </c>
      <c r="D6" t="inlineStr"/>
      <c r="E6">
        <f>HYPERLINK("https://pharmeasy.in/online-medicine-order/eptus-25mg-tablet-15-s-231620", "Click Here")</f>
        <v/>
      </c>
      <c r="F6" t="inlineStr"/>
      <c r="G6">
        <f>HYPERLINK("https://www.apollopharmacy.in/medicine/antidep-25mg-tablet", "Click Here")</f>
        <v/>
      </c>
      <c r="H6" t="inlineStr"/>
      <c r="I6" t="inlineStr"/>
    </row>
    <row r="7">
      <c r="A7" t="n">
        <v>306</v>
      </c>
      <c r="B7" t="inlineStr">
        <is>
          <t>Antiflu 75mg Capsule</t>
        </is>
      </c>
      <c r="C7">
        <f>HYPERLINK("https://www.1mg.com/drugs/antiflu-75mg-capsule-25089", "Click Here")</f>
        <v/>
      </c>
      <c r="D7" t="inlineStr"/>
      <c r="E7">
        <f>HYPERLINK("https://pharmeasy.in/online-medicine-order/antiflu-75mg-capsule-6658", "Click Here")</f>
        <v/>
      </c>
      <c r="F7" t="inlineStr"/>
      <c r="G7">
        <f>HYPERLINK("https://www.apollopharmacy.in/medicine/antiflu-75mg-capsule", "Click Here")</f>
        <v/>
      </c>
      <c r="H7" t="inlineStr"/>
      <c r="I7" t="inlineStr"/>
    </row>
    <row r="8">
      <c r="A8" t="n">
        <v>307</v>
      </c>
      <c r="B8" t="inlineStr">
        <is>
          <t>Antisnake Venom Injection</t>
        </is>
      </c>
      <c r="C8">
        <f>HYPERLINK("https://www.1mg.com/drugs/antisnake-venom-polyvalent-injection-314605", "Click Here")</f>
        <v/>
      </c>
      <c r="D8" t="inlineStr"/>
      <c r="E8">
        <f>HYPERLINK("https://pharmeasy.in/online-medicine-order/anti-snake-venom-inj-10ml-35066", "Click Here")</f>
        <v/>
      </c>
      <c r="F8" t="inlineStr"/>
      <c r="G8" t="inlineStr">
        <is>
          <t>N/A</t>
        </is>
      </c>
      <c r="H8" t="inlineStr"/>
      <c r="I8" t="inlineStr"/>
    </row>
    <row r="9">
      <c r="A9" t="n">
        <v>308</v>
      </c>
      <c r="B9" t="inlineStr">
        <is>
          <t>Anxipan Capsule</t>
        </is>
      </c>
      <c r="C9">
        <f>HYPERLINK("https://www.1mg.com/drugs/anxipan-capsule-343638", "Click Here")</f>
        <v/>
      </c>
      <c r="D9" t="inlineStr"/>
      <c r="E9" t="inlineStr">
        <is>
          <t>N/A</t>
        </is>
      </c>
      <c r="F9" t="inlineStr"/>
      <c r="G9">
        <f>HYPERLINK("https://www.apollopharmacy.in/medicine/anxipan-capsule-10-s", "Click Here")</f>
        <v/>
      </c>
      <c r="H9" t="inlineStr"/>
      <c r="I9" t="inlineStr"/>
    </row>
    <row r="10">
      <c r="A10" t="n">
        <v>309</v>
      </c>
      <c r="B10" t="inlineStr">
        <is>
          <t>Anxiset 0.5 Tablet</t>
        </is>
      </c>
      <c r="C10">
        <f>HYPERLINK("https://www.1mg.com/drugs/anxiset-0.5-tablet-164119", "Click Here")</f>
        <v/>
      </c>
      <c r="D10" t="inlineStr"/>
      <c r="E10">
        <f>HYPERLINK("https://pharmeasy.in/online-medicine-order/angised-0-5mg-tablet-34896", "Click Here")</f>
        <v/>
      </c>
      <c r="F10" t="inlineStr"/>
      <c r="G10" t="inlineStr">
        <is>
          <t>N/A</t>
        </is>
      </c>
      <c r="H10" t="inlineStr"/>
      <c r="I10" t="inlineStr"/>
    </row>
    <row r="11">
      <c r="A11" t="n">
        <v>310</v>
      </c>
      <c r="B11" t="inlineStr">
        <is>
          <t>Anxit 0.25mg Tablet</t>
        </is>
      </c>
      <c r="C11">
        <f>HYPERLINK("https://www.1mg.com/drugs/anxit-0.25mg-tablet-69561", "Click Here")</f>
        <v/>
      </c>
      <c r="D11" t="inlineStr"/>
      <c r="E11">
        <f>HYPERLINK("https://pharmeasy.in/online-medicine-order/anxit-0-25mg-strip-of-10-tablets-35099", "Click Here")</f>
        <v/>
      </c>
      <c r="F11" t="inlineStr"/>
      <c r="G11" t="inlineStr">
        <is>
          <t>N/A</t>
        </is>
      </c>
      <c r="H11" t="inlineStr"/>
      <c r="I11" t="inlineStr"/>
    </row>
    <row r="12">
      <c r="A12" t="n">
        <v>311</v>
      </c>
      <c r="B12" t="inlineStr">
        <is>
          <t>Anxit 0.5 Tablet</t>
        </is>
      </c>
      <c r="C12">
        <f>HYPERLINK("https://www.1mg.com/drugs/anxit-0.5-tablet-75550", "Click Here")</f>
        <v/>
      </c>
      <c r="D12" t="inlineStr"/>
      <c r="E12" t="inlineStr">
        <is>
          <t>N/A</t>
        </is>
      </c>
      <c r="F12" t="inlineStr"/>
      <c r="G12">
        <f>HYPERLINK("https://www.apollopharmacy.in/medicine/anxit-0-5mg-tablet", "Click Here")</f>
        <v/>
      </c>
      <c r="H12" t="inlineStr"/>
      <c r="I12" t="inlineStr"/>
    </row>
    <row r="13">
      <c r="A13" t="n">
        <v>312</v>
      </c>
      <c r="B13" t="inlineStr">
        <is>
          <t>Apdrops Eye Drop</t>
        </is>
      </c>
      <c r="C13">
        <f>HYPERLINK("https://www.1mg.com/drugs/apdrops-lp-eye-drop-bak-free-162554", "Click Here")</f>
        <v/>
      </c>
      <c r="D13" t="inlineStr"/>
      <c r="E13">
        <f>HYPERLINK("https://pharmeasy.in/online-medicine-order/apdrops-lp-eye-drops-5ml-1435", "Click Here")</f>
        <v/>
      </c>
      <c r="F13" t="inlineStr"/>
      <c r="G13">
        <f>HYPERLINK("https://www.apollopharmacy.in/medicine/apdrops-eye-drops-5-ml", "Click Here")</f>
        <v/>
      </c>
      <c r="H13" t="inlineStr"/>
      <c r="I13" t="inlineStr"/>
    </row>
    <row r="14">
      <c r="A14" t="n">
        <v>313</v>
      </c>
      <c r="B14" t="inlineStr">
        <is>
          <t>Apdrops PD Eye Drop</t>
        </is>
      </c>
      <c r="C14">
        <f>HYPERLINK("https://www.1mg.com/drugs/apdrops-pd-eye-drop-166487", "Click Here")</f>
        <v/>
      </c>
      <c r="D14" t="inlineStr"/>
      <c r="E14">
        <f>HYPERLINK("https://pharmeasy.in/online-medicine-order/apdrops-pd-eye-drops-10ml-1541", "Click Here")</f>
        <v/>
      </c>
      <c r="F14" t="inlineStr"/>
      <c r="G14">
        <f>HYPERLINK("https://www.apollopharmacy.in/medicine/apdrops-pd-drops-5ml", "Click Here")</f>
        <v/>
      </c>
      <c r="H14" t="inlineStr"/>
      <c r="I14" t="inlineStr"/>
    </row>
    <row r="15">
      <c r="A15" t="n">
        <v>314</v>
      </c>
      <c r="B15" t="inlineStr">
        <is>
          <t>Apetamin Syrup</t>
        </is>
      </c>
      <c r="C15">
        <f>HYPERLINK("https://www.1mg.com/drugs/apetamin-syrup-164407", "Click Here")</f>
        <v/>
      </c>
      <c r="D15" t="inlineStr"/>
      <c r="E15">
        <f>HYPERLINK("https://pharmeasy.in/online-medicine-order/apetamin-syp-200ml-35139", "Click Here")</f>
        <v/>
      </c>
      <c r="F15" t="inlineStr"/>
      <c r="G15">
        <f>HYPERLINK("https://www.apollopharmacy.in/medicine/apetamin-syrup-200ml", "Click Here")</f>
        <v/>
      </c>
      <c r="H15" t="inlineStr"/>
      <c r="I15" t="inlineStr"/>
    </row>
    <row r="16">
      <c r="A16" t="n">
        <v>315</v>
      </c>
      <c r="B16" t="inlineStr">
        <is>
          <t>Apidra 100IU Cartridge</t>
        </is>
      </c>
      <c r="C16">
        <f>HYPERLINK("https://www.1mg.com/drugs/apidra-100iu-cartridge-3ml-each-155177", "Click Here")</f>
        <v/>
      </c>
      <c r="D16" t="inlineStr"/>
      <c r="E16">
        <f>HYPERLINK("https://pharmeasy.in/online-medicine-order/apidra-100iu-cartridge-inj-24048", "Click Here")</f>
        <v/>
      </c>
      <c r="F16" t="inlineStr"/>
      <c r="G16">
        <f>HYPERLINK("https://www.apollopharmacy.in/medicine/apidra-100iu-injection-cartridge-3ml", "Click Here")</f>
        <v/>
      </c>
      <c r="H16" t="inlineStr"/>
      <c r="I16" t="inlineStr"/>
    </row>
    <row r="17">
      <c r="A17" t="n">
        <v>316</v>
      </c>
      <c r="B17" t="inlineStr">
        <is>
          <t>Apidra Solostar 100IU/ml Injection</t>
        </is>
      </c>
      <c r="C17">
        <f>HYPERLINK("https://www.1mg.com/drugs/apidra-solostar-100iu-ml-injection-146115", "Click Here")</f>
        <v/>
      </c>
      <c r="D17" t="inlineStr"/>
      <c r="E17">
        <f>HYPERLINK("https://pharmeasy.in/online-medicine-order/apidra-solostar-100iu-injection-3ml-23993", "Click Here")</f>
        <v/>
      </c>
      <c r="F17" t="inlineStr"/>
      <c r="G17" t="inlineStr">
        <is>
          <t>N/A</t>
        </is>
      </c>
      <c r="H17" t="inlineStr"/>
      <c r="I17" t="inlineStr"/>
    </row>
    <row r="18">
      <c r="A18" t="n">
        <v>317</v>
      </c>
      <c r="B18" t="inlineStr">
        <is>
          <t>Apigat 2.5 Tablet</t>
        </is>
      </c>
      <c r="C18">
        <f>HYPERLINK("https://www.1mg.com/drugs/apigat-2.5-tablet-540242", "Click Here")</f>
        <v/>
      </c>
      <c r="D18" t="inlineStr"/>
      <c r="E18">
        <f>HYPERLINK("https://pharmeasy.in/online-medicine-order/apigat-2-5mg-tablet-30-s-228360", "Click Here")</f>
        <v/>
      </c>
      <c r="F18" t="inlineStr"/>
      <c r="G18" t="inlineStr">
        <is>
          <t>N/A</t>
        </is>
      </c>
      <c r="H18" t="inlineStr"/>
      <c r="I18" t="inlineStr"/>
    </row>
    <row r="19">
      <c r="A19" t="n">
        <v>318</v>
      </c>
      <c r="B19" t="inlineStr">
        <is>
          <t>Apigat 5 Tablet</t>
        </is>
      </c>
      <c r="C19">
        <f>HYPERLINK("https://www.1mg.com/drugs/apigat-5-tablet-540276", "Click Here")</f>
        <v/>
      </c>
      <c r="D19" t="inlineStr"/>
      <c r="E19">
        <f>HYPERLINK("https://pharmeasy.in/online-medicine-order/apigat-5mg-tablet-30-s-229098", "Click Here")</f>
        <v/>
      </c>
      <c r="F19" t="inlineStr"/>
      <c r="G19">
        <f>HYPERLINK("https://www.apollopharmacy.in/medicine/apigat-5mg-tablet-30-s", "Click Here")</f>
        <v/>
      </c>
      <c r="H19" t="inlineStr"/>
      <c r="I19" t="inlineStr"/>
    </row>
    <row r="20">
      <c r="A20" t="n">
        <v>319</v>
      </c>
      <c r="B20" t="inlineStr">
        <is>
          <t>Aplazar Tablet</t>
        </is>
      </c>
      <c r="C20">
        <f>HYPERLINK("https://www.1mg.com/drugs/aplazar-tablet-58463", "Click Here")</f>
        <v/>
      </c>
      <c r="D20" t="inlineStr"/>
      <c r="E20">
        <f>HYPERLINK("https://pharmeasy.in/online-medicine-order/aplazar-strip-of-10-tablets-24885", "Click Here")</f>
        <v/>
      </c>
      <c r="F20" t="inlineStr"/>
      <c r="G20">
        <f>HYPERLINK("https://www.apollopharmacy.in/medicine/aplazar-200mg-tab", "Click Here")</f>
        <v/>
      </c>
      <c r="H20" t="inlineStr"/>
      <c r="I20" t="inlineStr"/>
    </row>
    <row r="21">
      <c r="A21" t="n">
        <v>320</v>
      </c>
      <c r="B21" t="inlineStr">
        <is>
          <t>Aplevant 1.5mg Pre-filled Pen (0.5ml Each)</t>
        </is>
      </c>
      <c r="C21">
        <f>HYPERLINK("https://www.1mg.com/drugs/mounjaro-15mg-kwikpen-1122614", "Click Here")</f>
        <v/>
      </c>
      <c r="D21" t="inlineStr"/>
      <c r="E21">
        <f>HYPERLINK("https://pharmeasy.in/online-medicine-order/aplevant-1-5mg-inj-0-5ml-1-2-213387", "Click Here")</f>
        <v/>
      </c>
      <c r="F21" t="inlineStr"/>
      <c r="G21">
        <f>HYPERLINK("https://www.apollopharmacy.in/medicine/aplevant-1-5mg-injection", "Click Here")</f>
        <v/>
      </c>
      <c r="H21" t="inlineStr"/>
      <c r="I21" t="inlineStr"/>
    </row>
    <row r="22">
      <c r="A22" t="n">
        <v>321</v>
      </c>
      <c r="B22" t="inlineStr">
        <is>
          <t>Aprecap 125/80 Capsule</t>
        </is>
      </c>
      <c r="C22">
        <f>HYPERLINK("https://www.1mg.com/drugs/aprecap-125-80-capsule-58464", "Click Here")</f>
        <v/>
      </c>
      <c r="D22" t="inlineStr"/>
      <c r="E22" t="inlineStr">
        <is>
          <t>N/A</t>
        </is>
      </c>
      <c r="F22" t="inlineStr"/>
      <c r="G22" t="inlineStr">
        <is>
          <t>N/A</t>
        </is>
      </c>
      <c r="H22" t="inlineStr"/>
      <c r="I22" t="inlineStr"/>
    </row>
    <row r="23">
      <c r="A23" t="n">
        <v>322</v>
      </c>
      <c r="B23" t="inlineStr">
        <is>
          <t>Apresol Tablet</t>
        </is>
      </c>
      <c r="C23">
        <f>HYPERLINK("https://www.1mg.com/drugs/apresol-tablet-300313", "Click Here")</f>
        <v/>
      </c>
      <c r="D23" t="inlineStr"/>
      <c r="E23">
        <f>HYPERLINK("https://pharmeasy.in/online-medicine-order/apresol-tablet-35155", "Click Here")</f>
        <v/>
      </c>
      <c r="F23" t="inlineStr"/>
      <c r="G23">
        <f>HYPERLINK("https://www.apollopharmacy.in/medicine/apresol-25-mg-tablet-30-s", "Click Here")</f>
        <v/>
      </c>
      <c r="H23" t="inlineStr"/>
      <c r="I23" t="inlineStr"/>
    </row>
    <row r="24">
      <c r="A24" t="n">
        <v>323</v>
      </c>
      <c r="B24" t="inlineStr">
        <is>
          <t>Aprezo 10 Tablet</t>
        </is>
      </c>
      <c r="C24">
        <f>HYPERLINK("https://www.1mg.com/drugs/aprezo-10-tablet-582295", "Click Here")</f>
        <v/>
      </c>
      <c r="D24" t="inlineStr"/>
      <c r="E24">
        <f>HYPERLINK("https://pharmeasy.in/online-medicine-order/aprezo-30mg-strip-of-10-tablets-191059", "Click Here")</f>
        <v/>
      </c>
      <c r="F24" t="inlineStr"/>
      <c r="G24">
        <f>HYPERLINK("https://www.apollopharmacy.in/medicine/aprezo-10mg-tablet-4-s", "Click Here")</f>
        <v/>
      </c>
      <c r="H24" t="inlineStr"/>
      <c r="I24" t="inlineStr"/>
    </row>
    <row r="25">
      <c r="A25" t="n">
        <v>324</v>
      </c>
      <c r="B25" t="inlineStr">
        <is>
          <t>Aprezo 30mg Tablet</t>
        </is>
      </c>
      <c r="C25">
        <f>HYPERLINK("https://www.1mg.com/drugs/aprezo-30mg-tablet-372596", "Click Here")</f>
        <v/>
      </c>
      <c r="D25" t="inlineStr"/>
      <c r="E25">
        <f>HYPERLINK("https://pharmeasy.in/online-medicine-order/aprezo-30mg-strip-of-10-tablets-191059", "Click Here")</f>
        <v/>
      </c>
      <c r="F25" t="inlineStr"/>
      <c r="G25">
        <f>HYPERLINK("https://www.apollopharmacy.in/medicine/aprezo-30mg-tablet-10-s", "Click Here")</f>
        <v/>
      </c>
      <c r="H25" t="inlineStr"/>
      <c r="I25" t="inlineStr"/>
    </row>
    <row r="26">
      <c r="A26" t="n">
        <v>325</v>
      </c>
      <c r="B26" t="inlineStr">
        <is>
          <t>Aptimust Syrup</t>
        </is>
      </c>
      <c r="C26">
        <f>HYPERLINK("https://www.1mg.com/drugs/aptimust-syrup-158117", "Click Here")</f>
        <v/>
      </c>
      <c r="D26" t="inlineStr"/>
      <c r="E26">
        <f>HYPERLINK("https://pharmeasy.in/online-medicine-order/aptimust-syp-200ml-18316", "Click Here")</f>
        <v/>
      </c>
      <c r="F26" t="inlineStr"/>
      <c r="G26">
        <f>HYPERLINK("https://www.apollopharmacy.in/medicine/aptimust-syrup-200ml", "Click Here")</f>
        <v/>
      </c>
      <c r="H26" t="inlineStr"/>
      <c r="I26" t="inlineStr"/>
    </row>
    <row r="27">
      <c r="A27" t="n">
        <v>326</v>
      </c>
      <c r="B27" t="inlineStr">
        <is>
          <t>Aqua Ear Drop</t>
        </is>
      </c>
      <c r="C27">
        <f>HYPERLINK("https://www.1mg.com/drugs/aqua-ear-drop-444777", "Click Here")</f>
        <v/>
      </c>
      <c r="D27" t="inlineStr"/>
      <c r="E27">
        <f>HYPERLINK("https://pharmeasy.in/online-medicine-order/aqua-ear-drops-180527", "Click Here")</f>
        <v/>
      </c>
      <c r="F27" t="inlineStr"/>
      <c r="G27">
        <f>HYPERLINK("https://www.apollopharmacy.in/medicine/aqua-ear-drops-5-ml", "Click Here")</f>
        <v/>
      </c>
      <c r="H27" t="inlineStr"/>
      <c r="I27" t="inlineStr"/>
    </row>
    <row r="28">
      <c r="A28" t="n">
        <v>327</v>
      </c>
      <c r="B28" t="inlineStr">
        <is>
          <t>Aqualube Eye Drop</t>
        </is>
      </c>
      <c r="C28" t="inlineStr">
        <is>
          <t>N/A</t>
        </is>
      </c>
      <c r="D28" t="inlineStr"/>
      <c r="E28" t="inlineStr">
        <is>
          <t>N/A</t>
        </is>
      </c>
      <c r="F28" t="inlineStr"/>
      <c r="G28">
        <f>HYPERLINK("https://www.apollopharmacy.in/medicine/aqualube-eye-drops-10ml", "Click Here")</f>
        <v/>
      </c>
      <c r="H28" t="inlineStr"/>
      <c r="I28" t="inlineStr"/>
    </row>
    <row r="29">
      <c r="A29" t="n">
        <v>328</v>
      </c>
      <c r="B29" t="inlineStr">
        <is>
          <t>Aquasol A Capsule</t>
        </is>
      </c>
      <c r="C29">
        <f>HYPERLINK("https://www.1mg.com/drugs/aquasol-a-capsule-163078", "Click Here")</f>
        <v/>
      </c>
      <c r="D29" t="inlineStr"/>
      <c r="E29">
        <f>HYPERLINK("https://pharmeasy.in/online-medicine-order/aquasol-a-capsule-35218", "Click Here")</f>
        <v/>
      </c>
      <c r="F29" t="inlineStr"/>
      <c r="G29">
        <f>HYPERLINK("https://www.apollopharmacy.in/medicine/aquasol-a-50000iu-injection", "Click Here")</f>
        <v/>
      </c>
      <c r="H29" t="inlineStr"/>
      <c r="I29" t="inlineStr"/>
    </row>
    <row r="30">
      <c r="A30" t="n">
        <v>329</v>
      </c>
      <c r="B30" t="inlineStr">
        <is>
          <t>Aquaviron 40mg Capsule</t>
        </is>
      </c>
      <c r="C30" t="inlineStr">
        <is>
          <t>N/A</t>
        </is>
      </c>
      <c r="D30" t="inlineStr"/>
      <c r="E30" t="inlineStr">
        <is>
          <t>N/A</t>
        </is>
      </c>
      <c r="F30" t="inlineStr"/>
      <c r="G30">
        <f>HYPERLINK("https://www.apollopharmacy.in/medicine/aquaviron-40mg-softgel-capsule-10-s", "Click Here")</f>
        <v/>
      </c>
      <c r="H30" t="inlineStr"/>
      <c r="I30" t="inlineStr"/>
    </row>
    <row r="31">
      <c r="A31" t="n">
        <v>330</v>
      </c>
      <c r="B31" t="inlineStr">
        <is>
          <t>Aquaviron Injection 1ml</t>
        </is>
      </c>
      <c r="C31" t="inlineStr">
        <is>
          <t>N/A</t>
        </is>
      </c>
      <c r="D31" t="inlineStr"/>
      <c r="E31" t="inlineStr">
        <is>
          <t>N/A</t>
        </is>
      </c>
      <c r="F31" t="inlineStr"/>
      <c r="G31" t="inlineStr">
        <is>
          <t>N/A</t>
        </is>
      </c>
      <c r="H31" t="inlineStr"/>
      <c r="I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331</v>
      </c>
      <c r="B2" t="inlineStr">
        <is>
          <t>Aquazide 12.5 Tablet</t>
        </is>
      </c>
      <c r="C2">
        <f>HYPERLINK("https://www.1mg.com/drugs/aquazide-12.5-tablet-12824", "Click Here")</f>
        <v/>
      </c>
      <c r="D2" t="inlineStr"/>
      <c r="E2">
        <f>HYPERLINK("https://pharmeasy.in/online-medicine-order/aquazide-12-5mg-tablet-35223", "Click Here")</f>
        <v/>
      </c>
      <c r="F2" t="inlineStr"/>
      <c r="G2">
        <f>HYPERLINK("https://www.apollopharmacy.in/medicine/aquazide-12-5mg-tablet", "Click Here")</f>
        <v/>
      </c>
      <c r="H2" t="inlineStr"/>
      <c r="I2" t="inlineStr"/>
    </row>
    <row r="3">
      <c r="A3" t="n">
        <v>332</v>
      </c>
      <c r="B3" t="inlineStr">
        <is>
          <t>Aquazide 25 Tablet</t>
        </is>
      </c>
      <c r="C3" t="inlineStr">
        <is>
          <t>N/A</t>
        </is>
      </c>
      <c r="D3" t="inlineStr"/>
      <c r="E3" t="inlineStr">
        <is>
          <t>N/A</t>
        </is>
      </c>
      <c r="F3" t="inlineStr"/>
      <c r="G3" t="inlineStr">
        <is>
          <t>N/A</t>
        </is>
      </c>
      <c r="H3" t="inlineStr"/>
      <c r="I3" t="inlineStr"/>
    </row>
    <row r="4">
      <c r="A4" t="n">
        <v>333</v>
      </c>
      <c r="B4" t="inlineStr">
        <is>
          <t>Aquim PF Eye Drop</t>
        </is>
      </c>
      <c r="C4">
        <f>HYPERLINK("https://www.1mg.com/drugs/aquim-pf-eye-drop-504295", "Click Here")</f>
        <v/>
      </c>
      <c r="D4" t="inlineStr"/>
      <c r="E4">
        <f>HYPERLINK("https://pharmeasy.in/online-medicine-order/aquim-pf-0-18-bottle-of-10ml-eye-drops-4136136", "Click Here")</f>
        <v/>
      </c>
      <c r="F4" t="inlineStr"/>
      <c r="G4">
        <f>HYPERLINK("https://www.apollopharmacy.in/medicine/aquim-pf-1-w-v-eye-drops-10ml", "Click Here")</f>
        <v/>
      </c>
      <c r="H4" t="inlineStr"/>
      <c r="I4" t="inlineStr"/>
    </row>
    <row r="5">
      <c r="A5" t="n">
        <v>334</v>
      </c>
      <c r="B5" t="inlineStr">
        <is>
          <t>Arachitol 6L Injection</t>
        </is>
      </c>
      <c r="C5">
        <f>HYPERLINK("https://www.1mg.com/drugs/arachitol-6l-injection-323178", "Click Here")</f>
        <v/>
      </c>
      <c r="D5" t="inlineStr"/>
      <c r="E5">
        <f>HYPERLINK("https://pharmeasy.in/online-medicine-order/arachitol-6-l-injection-1-ml-4219194", "Click Here")</f>
        <v/>
      </c>
      <c r="F5" t="inlineStr"/>
      <c r="G5">
        <f>HYPERLINK("https://www.apollopharmacy.in/medicine/arachitol-600000iu-injection", "Click Here")</f>
        <v/>
      </c>
      <c r="H5" t="inlineStr"/>
      <c r="I5" t="inlineStr"/>
    </row>
    <row r="6">
      <c r="A6" t="n">
        <v>335</v>
      </c>
      <c r="B6" t="inlineStr">
        <is>
          <t>Aravon Injection</t>
        </is>
      </c>
      <c r="C6">
        <f>HYPERLINK("https://www.1mg.com/drugs/aravon-injection-317925", "Click Here")</f>
        <v/>
      </c>
      <c r="D6" t="inlineStr"/>
      <c r="E6">
        <f>HYPERLINK("https://pharmeasy.in/online-medicine-order/aravon-injection-25357", "Click Here")</f>
        <v/>
      </c>
      <c r="F6" t="inlineStr"/>
      <c r="G6">
        <f>HYPERLINK("https://www.apollopharmacy.in/medicine/aravon-ampoule-20ml", "Click Here")</f>
        <v/>
      </c>
      <c r="H6" t="inlineStr"/>
      <c r="I6" t="inlineStr"/>
    </row>
    <row r="7">
      <c r="A7" t="n">
        <v>336</v>
      </c>
      <c r="B7" t="inlineStr">
        <is>
          <t>Arbitel-AM Tablet</t>
        </is>
      </c>
      <c r="C7">
        <f>HYPERLINK("https://www.1mg.com/drugs/arbitel-am-tablet-805578", "Click Here")</f>
        <v/>
      </c>
      <c r="D7" t="inlineStr"/>
      <c r="E7">
        <f>HYPERLINK("https://pharmeasy.in/online-medicine-order/arbitel-am-80mg-tablet-19907", "Click Here")</f>
        <v/>
      </c>
      <c r="F7" t="inlineStr"/>
      <c r="G7" t="inlineStr">
        <is>
          <t>N/A</t>
        </is>
      </c>
      <c r="H7" t="inlineStr"/>
      <c r="I7" t="inlineStr"/>
    </row>
    <row r="8">
      <c r="A8" t="n">
        <v>337</v>
      </c>
      <c r="B8" t="inlineStr">
        <is>
          <t>Arbitel-Trio 25 Tablet ER</t>
        </is>
      </c>
      <c r="C8">
        <f>HYPERLINK("https://www.1mg.com/drugs/arbitel-trio-25-tablet-er-934071", "Click Here")</f>
        <v/>
      </c>
      <c r="D8" t="inlineStr"/>
      <c r="E8">
        <f>HYPERLINK("https://pharmeasy.in/online-medicine-order/arbitel-trio-25mg-strip-of-15-tablets-4127170", "Click Here")</f>
        <v/>
      </c>
      <c r="F8" t="inlineStr"/>
      <c r="G8">
        <f>HYPERLINK("https://www.apollopharmacy.in/medicine/arbitel-trio-25-tablet-15-s", "Click Here")</f>
        <v/>
      </c>
      <c r="H8" t="inlineStr"/>
      <c r="I8" t="inlineStr"/>
    </row>
    <row r="9">
      <c r="A9" t="n">
        <v>338</v>
      </c>
      <c r="B9" t="inlineStr">
        <is>
          <t>Arbitel-Trio 50 Tablet ER</t>
        </is>
      </c>
      <c r="C9">
        <f>HYPERLINK("https://www.1mg.com/drugs/arbitel-trio-50-tablet-er-881773", "Click Here")</f>
        <v/>
      </c>
      <c r="D9" t="inlineStr"/>
      <c r="E9">
        <f>HYPERLINK("https://pharmeasy.in/online-medicine-order/arbitel-trio-50mg-strip-of-15-tablets-4005182", "Click Here")</f>
        <v/>
      </c>
      <c r="F9" t="inlineStr"/>
      <c r="G9" t="inlineStr">
        <is>
          <t>N/A</t>
        </is>
      </c>
      <c r="H9" t="inlineStr"/>
      <c r="I9" t="inlineStr"/>
    </row>
    <row r="10">
      <c r="A10" t="n">
        <v>339</v>
      </c>
      <c r="B10" t="inlineStr">
        <is>
          <t>Aricep 5 Tablet</t>
        </is>
      </c>
      <c r="C10">
        <f>HYPERLINK("https://www.1mg.com/drugs/aricep-5-tablet-5606", "Click Here")</f>
        <v/>
      </c>
      <c r="D10" t="inlineStr"/>
      <c r="E10">
        <f>HYPERLINK("https://pharmeasy.in/online-medicine-order/aricep-5mg-tablet-35294", "Click Here")</f>
        <v/>
      </c>
      <c r="F10" t="inlineStr"/>
      <c r="G10">
        <f>HYPERLINK("https://www.apollopharmacy.in/medicine/aricep-5mg-tablet", "Click Here")</f>
        <v/>
      </c>
      <c r="H10" t="inlineStr"/>
      <c r="I10" t="inlineStr"/>
    </row>
    <row r="11">
      <c r="A11" t="n">
        <v>340</v>
      </c>
      <c r="B11" t="inlineStr">
        <is>
          <t>Arkamin Tablet</t>
        </is>
      </c>
      <c r="C11">
        <f>HYPERLINK("https://www.1mg.com/drugs/arkamin-tablet-330260", "Click Here")</f>
        <v/>
      </c>
      <c r="D11" t="inlineStr"/>
      <c r="E11">
        <f>HYPERLINK("https://pharmeasy.in/online-medicine-order/arkamin-100mcg-strip-of-30-tablets-27915", "Click Here")</f>
        <v/>
      </c>
      <c r="F11" t="inlineStr"/>
      <c r="G11">
        <f>HYPERLINK("https://www.apollopharmacy.in/medicine/arkamin-0-1mg-tablet", "Click Here")</f>
        <v/>
      </c>
      <c r="H11" t="inlineStr"/>
      <c r="I11" t="inlineStr"/>
    </row>
    <row r="12">
      <c r="A12" t="n">
        <v>341</v>
      </c>
      <c r="B12" t="inlineStr">
        <is>
          <t>Ascabiol Emulsion</t>
        </is>
      </c>
      <c r="C12">
        <f>HYPERLINK("https://www.1mg.com/drugs/ascabiol-emulsion-662501", "Click Here")</f>
        <v/>
      </c>
      <c r="D12" t="inlineStr"/>
      <c r="E12">
        <f>HYPERLINK("https://pharmeasy.in/online-medicine-order/ascabiol-bottle-of-120ml-emulsion-3134643", "Click Here")</f>
        <v/>
      </c>
      <c r="F12" t="inlineStr"/>
      <c r="G12" t="inlineStr">
        <is>
          <t>N/A</t>
        </is>
      </c>
      <c r="H12" t="inlineStr"/>
      <c r="I12" t="inlineStr"/>
    </row>
    <row r="13">
      <c r="A13" t="n">
        <v>342</v>
      </c>
      <c r="B13" t="inlineStr">
        <is>
          <t>Ascoril LS Drops</t>
        </is>
      </c>
      <c r="C13">
        <f>HYPERLINK("https://www.1mg.com/drugs/ascoril-ls-drops-119912", "Click Here")</f>
        <v/>
      </c>
      <c r="D13" t="inlineStr"/>
      <c r="E13">
        <f>HYPERLINK("https://pharmeasy.in/online-medicine-order/ascoril-ls-drops-11810", "Click Here")</f>
        <v/>
      </c>
      <c r="F13" t="inlineStr"/>
      <c r="G13">
        <f>HYPERLINK("https://www.apollopharmacy.in/medicine/ascoril-ls-drops", "Click Here")</f>
        <v/>
      </c>
      <c r="H13" t="inlineStr"/>
      <c r="I13" t="inlineStr"/>
    </row>
    <row r="14">
      <c r="A14" t="n">
        <v>343</v>
      </c>
      <c r="B14" t="inlineStr">
        <is>
          <t>Ascoril LS Junior Syrup</t>
        </is>
      </c>
      <c r="C14">
        <f>HYPERLINK("https://www.1mg.com/drugs/ascoril-ls-junior-syrup-340445", "Click Here")</f>
        <v/>
      </c>
      <c r="D14" t="inlineStr"/>
      <c r="E14">
        <f>HYPERLINK("https://pharmeasy.in/online-medicine-order/ascoril-ls-junior-bottle-of-100ml-expectorant-2988379", "Click Here")</f>
        <v/>
      </c>
      <c r="F14" t="inlineStr"/>
      <c r="G14">
        <f>HYPERLINK("https://www.apollopharmacy.in/medicine/ascoril-ls-junior-expectorant-100ml", "Click Here")</f>
        <v/>
      </c>
      <c r="H14" t="inlineStr"/>
      <c r="I14" t="inlineStr"/>
    </row>
    <row r="15">
      <c r="A15" t="n">
        <v>344</v>
      </c>
      <c r="B15" t="inlineStr">
        <is>
          <t>Ascoril Plus Expectorant</t>
        </is>
      </c>
      <c r="C15">
        <f>HYPERLINK("https://www.1mg.com/drugs/ascoril-plus-expectorant-248592", "Click Here")</f>
        <v/>
      </c>
      <c r="D15" t="inlineStr"/>
      <c r="E15">
        <f>HYPERLINK("https://pharmeasy.in/online-medicine-order/ascoril-plus-bottle-of-200ml-expectorant-11727", "Click Here")</f>
        <v/>
      </c>
      <c r="F15" t="inlineStr"/>
      <c r="G15" t="inlineStr">
        <is>
          <t>N/A</t>
        </is>
      </c>
      <c r="H15" t="inlineStr"/>
      <c r="I15" t="inlineStr"/>
    </row>
    <row r="16">
      <c r="A16" t="n">
        <v>345</v>
      </c>
      <c r="B16" t="inlineStr">
        <is>
          <t>Ascoril SF Expectorant</t>
        </is>
      </c>
      <c r="C16" t="inlineStr">
        <is>
          <t>N/A</t>
        </is>
      </c>
      <c r="D16" t="inlineStr"/>
      <c r="E16">
        <f>HYPERLINK("https://pharmeasy.in/online-medicine-order/ascoril-sf-expt-11811", "Click Here")</f>
        <v/>
      </c>
      <c r="F16" t="inlineStr"/>
      <c r="G16" t="inlineStr">
        <is>
          <t>N/A</t>
        </is>
      </c>
      <c r="H16" t="inlineStr"/>
      <c r="I16" t="inlineStr"/>
    </row>
    <row r="17">
      <c r="A17" t="n">
        <v>346</v>
      </c>
      <c r="B17" t="inlineStr">
        <is>
          <t>Asomex 5 Tablet</t>
        </is>
      </c>
      <c r="C17">
        <f>HYPERLINK("https://www.1mg.com/drugs/asomex-5-tablet-328064", "Click Here")</f>
        <v/>
      </c>
      <c r="D17" t="inlineStr"/>
      <c r="E17">
        <f>HYPERLINK("https://pharmeasy.in/online-medicine-order/asomex-tm-5-strip-of-15-tablets-9229", "Click Here")</f>
        <v/>
      </c>
      <c r="F17" t="inlineStr"/>
      <c r="G17" t="inlineStr">
        <is>
          <t>N/A</t>
        </is>
      </c>
      <c r="H17" t="inlineStr"/>
      <c r="I17" t="inlineStr"/>
    </row>
    <row r="18">
      <c r="A18" t="n">
        <v>347</v>
      </c>
      <c r="B18" t="inlineStr">
        <is>
          <t>Assurans Tablet</t>
        </is>
      </c>
      <c r="C18">
        <f>HYPERLINK("https://www.1mg.com/drugs/assurans-tablet-489448", "Click Here")</f>
        <v/>
      </c>
      <c r="D18" t="inlineStr"/>
      <c r="E18">
        <f>HYPERLINK("https://pharmeasy.in/online-medicine-order/assurans-20mg-tab-15-s-217652", "Click Here")</f>
        <v/>
      </c>
      <c r="F18" t="inlineStr"/>
      <c r="G18">
        <f>HYPERLINK("https://www.apollopharmacy.in/medicine/assurans-20mg-tablet-15-s", "Click Here")</f>
        <v/>
      </c>
      <c r="H18" t="inlineStr"/>
      <c r="I18" t="inlineStr"/>
    </row>
    <row r="19">
      <c r="A19" t="n">
        <v>348</v>
      </c>
      <c r="B19" t="inlineStr">
        <is>
          <t>Asthakind Expectorant Sugar Free</t>
        </is>
      </c>
      <c r="C19">
        <f>HYPERLINK("https://www.1mg.com/drugs/asthakind-expectorant-sugar-free-160161", "Click Here")</f>
        <v/>
      </c>
      <c r="D19" t="inlineStr"/>
      <c r="E19">
        <f>HYPERLINK("https://pharmeasy.in/online-medicine-order/asthakind-sugar-free-expectorant-100ml-210501", "Click Here")</f>
        <v/>
      </c>
      <c r="F19" t="inlineStr"/>
      <c r="G19">
        <f>HYPERLINK("https://www.apollopharmacy.in/medicine/asthakind-ls-1-30-50-sugar-free-cola-expectorant-100-ml", "Click Here")</f>
        <v/>
      </c>
      <c r="H19" t="inlineStr"/>
      <c r="I19" t="inlineStr"/>
    </row>
    <row r="20">
      <c r="A20" t="n">
        <v>349</v>
      </c>
      <c r="B20" t="inlineStr">
        <is>
          <t>Asthakind-DX Syrup Sugar Free</t>
        </is>
      </c>
      <c r="C20">
        <f>HYPERLINK("https://www.1mg.com/drugs/asthakind-dx-syrup-sugar-free-276923", "Click Here")</f>
        <v/>
      </c>
      <c r="D20" t="inlineStr"/>
      <c r="E20">
        <f>HYPERLINK("https://pharmeasy.in/online-medicine-order/asthakind-dx-sf-syp-100ml-18291", "Click Here")</f>
        <v/>
      </c>
      <c r="F20" t="inlineStr"/>
      <c r="G20" t="inlineStr">
        <is>
          <t>N/A</t>
        </is>
      </c>
      <c r="H20" t="inlineStr"/>
      <c r="I20" t="inlineStr"/>
    </row>
    <row r="21">
      <c r="A21" t="n">
        <v>350</v>
      </c>
      <c r="B21" t="inlineStr">
        <is>
          <t>Asthalin 100mcg Inhaler</t>
        </is>
      </c>
      <c r="C21">
        <f>HYPERLINK("https://www.1mg.com/drugs/asthalin-100mcg-inhaler-141944", "Click Here")</f>
        <v/>
      </c>
      <c r="D21" t="inlineStr"/>
      <c r="E21">
        <f>HYPERLINK("https://pharmeasy.in/online-medicine-order/asthalin-100mcg-inhaler-35648", "Click Here")</f>
        <v/>
      </c>
      <c r="F21" t="inlineStr"/>
      <c r="G21" t="inlineStr">
        <is>
          <t>N/A</t>
        </is>
      </c>
      <c r="H21" t="inlineStr"/>
      <c r="I21" t="inlineStr"/>
    </row>
    <row r="22">
      <c r="A22" t="n">
        <v>351</v>
      </c>
      <c r="B22" t="inlineStr">
        <is>
          <t>Asthalin DX Syrup</t>
        </is>
      </c>
      <c r="C22">
        <f>HYPERLINK("https://www.1mg.com/drugs/asthalin-dx-syrup-431424", "Click Here")</f>
        <v/>
      </c>
      <c r="D22" t="inlineStr"/>
      <c r="E22">
        <f>HYPERLINK("https://pharmeasy.in/online-medicine-order/asthalin-dx-syp-100ml-214192", "Click Here")</f>
        <v/>
      </c>
      <c r="F22" t="inlineStr"/>
      <c r="G22">
        <f>HYPERLINK("https://www.apollopharmacy.in/medicine/asthalin-dx-syrup-100ml", "Click Here")</f>
        <v/>
      </c>
      <c r="H22" t="inlineStr"/>
      <c r="I22" t="inlineStr"/>
    </row>
    <row r="23">
      <c r="A23" t="n">
        <v>352</v>
      </c>
      <c r="B23" t="inlineStr">
        <is>
          <t>Asthalin Respules</t>
        </is>
      </c>
      <c r="C23">
        <f>HYPERLINK("https://www.1mg.com/drugs/asthalin-respules-341377", "Click Here")</f>
        <v/>
      </c>
      <c r="D23" t="inlineStr"/>
      <c r="E23">
        <f>HYPERLINK("https://pharmeasy.in/online-medicine-order/asthalin-respules-2-5ml-1-5-35650", "Click Here")</f>
        <v/>
      </c>
      <c r="F23" t="inlineStr"/>
      <c r="G23">
        <f>HYPERLINK("https://www.apollopharmacy.in/medicine/asthalin-respules-2-5ml", "Click Here")</f>
        <v/>
      </c>
      <c r="H23" t="inlineStr"/>
      <c r="I23" t="inlineStr"/>
    </row>
    <row r="24">
      <c r="A24" t="n">
        <v>353</v>
      </c>
      <c r="B24" t="inlineStr">
        <is>
          <t>Asthalin Rotacaps</t>
        </is>
      </c>
      <c r="C24">
        <f>HYPERLINK("https://www.1mg.com/drugs/asthalin-rotacaps-577885", "Click Here")</f>
        <v/>
      </c>
      <c r="D24" t="inlineStr"/>
      <c r="E24">
        <f>HYPERLINK("https://pharmeasy.in/online-medicine-order/asthalin-200mcg-bottle-of-60-rotacaps-236149", "Click Here")</f>
        <v/>
      </c>
      <c r="F24" t="inlineStr"/>
      <c r="G24">
        <f>HYPERLINK("https://www.apollopharmacy.in/medicine/asthalin-200mcg-rotacaps", "Click Here")</f>
        <v/>
      </c>
      <c r="H24" t="inlineStr"/>
      <c r="I24" t="inlineStr"/>
    </row>
    <row r="25">
      <c r="A25" t="n">
        <v>354</v>
      </c>
      <c r="B25" t="inlineStr">
        <is>
          <t>Asthalin Syrup</t>
        </is>
      </c>
      <c r="C25">
        <f>HYPERLINK("https://www.1mg.com/drugs/asthalin-syrup-69589", "Click Here")</f>
        <v/>
      </c>
      <c r="D25" t="inlineStr"/>
      <c r="E25">
        <f>HYPERLINK("https://pharmeasy.in/online-medicine-order/asthalin-syp-100ml-35654", "Click Here")</f>
        <v/>
      </c>
      <c r="F25" t="inlineStr"/>
      <c r="G25" t="inlineStr">
        <is>
          <t>N/A</t>
        </is>
      </c>
      <c r="H25" t="inlineStr"/>
      <c r="I25" t="inlineStr"/>
    </row>
    <row r="26">
      <c r="A26" t="n">
        <v>355</v>
      </c>
      <c r="B26" t="inlineStr">
        <is>
          <t>Atarax 25mg Injection</t>
        </is>
      </c>
      <c r="C26">
        <f>HYPERLINK("https://www.1mg.com/drugs/atarax-25mg-injection-232204", "Click Here")</f>
        <v/>
      </c>
      <c r="D26" t="inlineStr"/>
      <c r="E26">
        <f>HYPERLINK("https://pharmeasy.in/online-medicine-order/atarax-inj-35716", "Click Here")</f>
        <v/>
      </c>
      <c r="F26" t="inlineStr"/>
      <c r="G26">
        <f>HYPERLINK("https://perfmedicine.apollopharmacy.in/medicine/atarax-25mg-tab-10-s", "Click Here")</f>
        <v/>
      </c>
      <c r="H26" t="inlineStr"/>
      <c r="I26" t="inlineStr"/>
    </row>
    <row r="27">
      <c r="A27" t="n">
        <v>356</v>
      </c>
      <c r="B27" t="inlineStr">
        <is>
          <t>Atarax Drops</t>
        </is>
      </c>
      <c r="C27">
        <f>HYPERLINK("https://www.1mg.com/drugs/atarax-drops-228834", "Click Here")</f>
        <v/>
      </c>
      <c r="D27" t="inlineStr"/>
      <c r="E27">
        <f>HYPERLINK("https://pharmeasy.in/online-medicine-order/atarax-6mg-drops-15ml-35715", "Click Here")</f>
        <v/>
      </c>
      <c r="F27" t="inlineStr"/>
      <c r="G27">
        <f>HYPERLINK("https://www.apollopharmacy.in/medicine/atarax-drops-15ml", "Click Here")</f>
        <v/>
      </c>
      <c r="H27" t="inlineStr"/>
      <c r="I27" t="inlineStr"/>
    </row>
    <row r="28">
      <c r="A28" t="n">
        <v>357</v>
      </c>
      <c r="B28" t="inlineStr">
        <is>
          <t>Atchol-F Tablet</t>
        </is>
      </c>
      <c r="C28">
        <f>HYPERLINK("https://www.1mg.com/drugs/atchol-f-tablet-146602", "Click Here")</f>
        <v/>
      </c>
      <c r="D28" t="inlineStr"/>
      <c r="E28">
        <f>HYPERLINK("https://pharmeasy.in/online-medicine-order/atchol-f-tablet-35735", "Click Here")</f>
        <v/>
      </c>
      <c r="F28" t="inlineStr"/>
      <c r="G28">
        <f>HYPERLINK("https://www.apollopharmacy.in/medicine/atchol-f-tablet", "Click Here")</f>
        <v/>
      </c>
      <c r="H28" t="inlineStr"/>
      <c r="I28" t="inlineStr"/>
    </row>
    <row r="29">
      <c r="A29" t="n">
        <v>358</v>
      </c>
      <c r="B29" t="inlineStr">
        <is>
          <t>Ativan 2mg Tablet</t>
        </is>
      </c>
      <c r="C29">
        <f>HYPERLINK("https://www.1mg.com/drugs/ativan-2mg-tablet-236513", "Click Here")</f>
        <v/>
      </c>
      <c r="D29" t="inlineStr"/>
      <c r="E29" t="inlineStr">
        <is>
          <t>N/A</t>
        </is>
      </c>
      <c r="F29" t="inlineStr"/>
      <c r="G29">
        <f>HYPERLINK("https://www.apollopharmacy.in/medicine/ativan-2mg-tablet", "Click Here")</f>
        <v/>
      </c>
      <c r="H29" t="inlineStr"/>
      <c r="I29" t="inlineStr"/>
    </row>
    <row r="30">
      <c r="A30" t="n">
        <v>359</v>
      </c>
      <c r="B30" t="inlineStr">
        <is>
          <t>ATM 200 Oral Suspension</t>
        </is>
      </c>
      <c r="C30" t="inlineStr">
        <is>
          <t>N/A</t>
        </is>
      </c>
      <c r="D30" t="inlineStr"/>
      <c r="E30">
        <f>HYPERLINK("https://pharmeasy.in/online-medicine-order/eptoin-oral-suspension-200ml-45731", "Click Here")</f>
        <v/>
      </c>
      <c r="F30" t="inlineStr"/>
      <c r="G30" t="inlineStr">
        <is>
          <t>N/A</t>
        </is>
      </c>
      <c r="H30" t="inlineStr"/>
      <c r="I30" t="inlineStr"/>
    </row>
    <row r="31">
      <c r="A31" t="n">
        <v>360</v>
      </c>
      <c r="B31" t="inlineStr">
        <is>
          <t>ATM 250 Tablet</t>
        </is>
      </c>
      <c r="C31">
        <f>HYPERLINK("https://www.1mg.com/drugs/atm-250-tablet-386864", "Click Here")</f>
        <v/>
      </c>
      <c r="D31" t="inlineStr"/>
      <c r="E31">
        <f>HYPERLINK("https://pharmeasy.in/online-medicine-order/atm-250mg-tab-10-s-206605", "Click Here")</f>
        <v/>
      </c>
      <c r="F31" t="inlineStr"/>
      <c r="G31" t="inlineStr">
        <is>
          <t>N/A</t>
        </is>
      </c>
      <c r="H31" t="inlineStr"/>
      <c r="I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361</v>
      </c>
      <c r="B2" t="inlineStr">
        <is>
          <t>ATM 500 Tablet</t>
        </is>
      </c>
      <c r="C2">
        <f>HYPERLINK("https://www.1mg.com/drugs/atm-500-tablet-392975", "Click Here")</f>
        <v/>
      </c>
      <c r="D2" t="inlineStr"/>
      <c r="E2">
        <f>HYPERLINK("https://pharmeasy.in/online-medicine-order/atm-500mg-strip-of-5-tablets-193912", "Click Here")</f>
        <v/>
      </c>
      <c r="F2" t="inlineStr"/>
      <c r="G2" t="inlineStr">
        <is>
          <t>N/A</t>
        </is>
      </c>
      <c r="H2" t="inlineStr"/>
      <c r="I2" t="inlineStr"/>
    </row>
    <row r="3">
      <c r="A3" t="n">
        <v>362</v>
      </c>
      <c r="B3" t="inlineStr">
        <is>
          <t>Atorlip 20 Tablet</t>
        </is>
      </c>
      <c r="C3">
        <f>HYPERLINK("https://www.1mg.com/drugs/atorlip-20-tablet-344296", "Click Here")</f>
        <v/>
      </c>
      <c r="D3" t="inlineStr"/>
      <c r="E3">
        <f>HYPERLINK("https://pharmeasy.in/online-medicine-order/atorlip-20mg-strip-of-15-tablets-169682",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363</v>
      </c>
      <c r="B4" t="inlineStr">
        <is>
          <t>Atormac CV10 Capsule</t>
        </is>
      </c>
      <c r="C4">
        <f>HYPERLINK("https://www.1mg.com/drugs/atormac-cv10-capsule-336836", "Click Here")</f>
        <v/>
      </c>
      <c r="D4" t="inlineStr"/>
      <c r="E4">
        <f>HYPERLINK("https://pharmeasy.in/online-medicine-order/atormac-cv-10mg-strip-of-10-capsules-17724", "Click Here")</f>
        <v/>
      </c>
      <c r="F4" t="inlineStr"/>
      <c r="G4" t="inlineStr">
        <is>
          <t>N/A</t>
        </is>
      </c>
      <c r="H4" t="inlineStr"/>
      <c r="I4" t="inlineStr"/>
    </row>
    <row r="5">
      <c r="A5" t="n">
        <v>364</v>
      </c>
      <c r="B5" t="inlineStr">
        <is>
          <t>Atorva 20 Tablet</t>
        </is>
      </c>
      <c r="C5">
        <f>HYPERLINK("https://www.1mg.com/drugs/atorva-20-tablet-513352", "Click Here")</f>
        <v/>
      </c>
      <c r="D5" t="inlineStr"/>
      <c r="E5">
        <f>HYPERLINK("https://pharmeasy.in/online-medicine-order/atorva-20mg-tab-15-s-222944", "Click Here")</f>
        <v/>
      </c>
      <c r="F5" t="inlineStr"/>
      <c r="G5">
        <f>HYPERLINK("https://www.apollopharmacy.in/medicine/atorva-20mg-tablet-15-s", "Click Here")</f>
        <v/>
      </c>
      <c r="H5" t="inlineStr"/>
      <c r="I5" t="inlineStr"/>
    </row>
    <row r="6">
      <c r="A6" t="n">
        <v>365</v>
      </c>
      <c r="B6" t="inlineStr">
        <is>
          <t>Atorva 40 Tablet</t>
        </is>
      </c>
      <c r="C6">
        <f>HYPERLINK("https://www.1mg.com/drugs/atorva-40-tablet-46666", "Click Here")</f>
        <v/>
      </c>
      <c r="D6" t="inlineStr"/>
      <c r="E6">
        <f>HYPERLINK("https://pharmeasy.in/online-medicine-order/atorva-40mg-strip-of-10-tablets-35862", "Click Here")</f>
        <v/>
      </c>
      <c r="F6" t="inlineStr"/>
      <c r="G6" t="inlineStr">
        <is>
          <t>N/A</t>
        </is>
      </c>
      <c r="H6" t="inlineStr"/>
      <c r="I6" t="inlineStr"/>
    </row>
    <row r="7">
      <c r="A7" t="n">
        <v>366</v>
      </c>
      <c r="B7" t="inlineStr">
        <is>
          <t>Atorva 80 Tablet</t>
        </is>
      </c>
      <c r="C7">
        <f>HYPERLINK("https://www.1mg.com/drugs/atorva-80-tablet-46673", "Click Here")</f>
        <v/>
      </c>
      <c r="D7" t="inlineStr"/>
      <c r="E7" t="inlineStr">
        <is>
          <t>N/A</t>
        </is>
      </c>
      <c r="F7" t="inlineStr"/>
      <c r="G7">
        <f>HYPERLINK("https://www.apollopharmacy.in/medicine/atorva-80mg-tablet", "Click Here")</f>
        <v/>
      </c>
      <c r="H7" t="inlineStr"/>
      <c r="I7" t="inlineStr"/>
    </row>
    <row r="8">
      <c r="A8" t="n">
        <v>367</v>
      </c>
      <c r="B8" t="inlineStr">
        <is>
          <t>Atorva Tablet</t>
        </is>
      </c>
      <c r="C8">
        <f>HYPERLINK("https://www.1mg.com/drugs/atorva-tablet-506170", "Click Here")</f>
        <v/>
      </c>
      <c r="D8" t="inlineStr"/>
      <c r="E8">
        <f>HYPERLINK("https://pharmeasy.in/online-medicine-order/atorva-10mg-strip-of-15-tablets-222110", "Click Here")</f>
        <v/>
      </c>
      <c r="F8" t="inlineStr"/>
      <c r="G8">
        <f>HYPERLINK("https://www.apollopharmacy.in/medicine/atorva-10mg-tablet-15-s", "Click Here")</f>
        <v/>
      </c>
      <c r="H8" t="inlineStr"/>
      <c r="I8" t="inlineStr"/>
    </row>
    <row r="9">
      <c r="A9" t="n">
        <v>368</v>
      </c>
      <c r="B9" t="inlineStr">
        <is>
          <t>Augmentin 1.2gm Injection</t>
        </is>
      </c>
      <c r="C9">
        <f>HYPERLINK("https://www.1mg.com/drugs/augmentin-1.2gm-injection-324901", "Click Here")</f>
        <v/>
      </c>
      <c r="D9" t="inlineStr"/>
      <c r="E9">
        <f>HYPERLINK("https://pharmeasy.in/online-medicine-order/augmentin-1-2gm-inj-20ml-35918", "Click Here")</f>
        <v/>
      </c>
      <c r="F9" t="inlineStr"/>
      <c r="G9" t="inlineStr">
        <is>
          <t>N/A</t>
        </is>
      </c>
      <c r="H9" t="inlineStr"/>
      <c r="I9" t="inlineStr"/>
    </row>
    <row r="10">
      <c r="A10" t="n">
        <v>369</v>
      </c>
      <c r="B10" t="inlineStr">
        <is>
          <t>Augmentin 375 Tablet</t>
        </is>
      </c>
      <c r="C10">
        <f>HYPERLINK("https://www.1mg.com/drugs/augmentin-375-tablet-325424", "Click Here")</f>
        <v/>
      </c>
      <c r="D10" t="inlineStr"/>
      <c r="E10">
        <f>HYPERLINK("https://pharmeasy.in/online-medicine-order/augmentin-375mg-strip-of-10-tablets-11554", "Click Here")</f>
        <v/>
      </c>
      <c r="F10" t="inlineStr"/>
      <c r="G10" t="inlineStr">
        <is>
          <t>N/A</t>
        </is>
      </c>
      <c r="H10" t="inlineStr"/>
      <c r="I10" t="inlineStr"/>
    </row>
    <row r="11">
      <c r="A11" t="n">
        <v>370</v>
      </c>
      <c r="B11" t="inlineStr">
        <is>
          <t>Augmentin 625 Duo Tablet</t>
        </is>
      </c>
      <c r="C11">
        <f>HYPERLINK("https://www.1mg.com/drugs/augmentin-625-duo-tablet-138629", "Click Here")</f>
        <v/>
      </c>
      <c r="D11" t="inlineStr"/>
      <c r="E11">
        <f>HYPERLINK("https://pharmeasy.in/online-medicine-order/augmentin-duo-625mg-strip-of-10-tablets-11551", "Click Here")</f>
        <v/>
      </c>
      <c r="F11" t="inlineStr"/>
      <c r="G11" t="inlineStr">
        <is>
          <t>N/A</t>
        </is>
      </c>
      <c r="H11" t="inlineStr"/>
      <c r="I11" t="inlineStr"/>
    </row>
    <row r="12">
      <c r="A12" t="n">
        <v>371</v>
      </c>
      <c r="B12" t="inlineStr">
        <is>
          <t>Augmentin DDS Suspension</t>
        </is>
      </c>
      <c r="C12">
        <f>HYPERLINK("https://www.1mg.com/drugs/augmentin-dds-suspension-63460", "Click Here")</f>
        <v/>
      </c>
      <c r="D12" t="inlineStr"/>
      <c r="E12">
        <f>HYPERLINK("https://pharmeasy.in/online-medicine-order/augmentin-dds-suspension-30ml-11513", "Click Here")</f>
        <v/>
      </c>
      <c r="F12" t="inlineStr"/>
      <c r="G12" t="inlineStr">
        <is>
          <t>N/A</t>
        </is>
      </c>
      <c r="H12" t="inlineStr"/>
      <c r="I12" t="inlineStr"/>
    </row>
    <row r="13">
      <c r="A13" t="n">
        <v>372</v>
      </c>
      <c r="B13" t="inlineStr">
        <is>
          <t>Augmentin Duo Oral Suspension</t>
        </is>
      </c>
      <c r="C13">
        <f>HYPERLINK("https://www.1mg.com/drugs/augmentin-duo-oral-suspension-324979", "Click Here")</f>
        <v/>
      </c>
      <c r="D13" t="inlineStr"/>
      <c r="E13">
        <f>HYPERLINK("https://pharmeasy.in/online-medicine-order/augmentin-duo-syp-35924", "Click Here")</f>
        <v/>
      </c>
      <c r="F13" t="inlineStr"/>
      <c r="G13">
        <f>HYPERLINK("https://www.apollopharmacy.in/medicine/augmentin-duo-syrup-30ml", "Click Here")</f>
        <v/>
      </c>
      <c r="H13" t="inlineStr"/>
      <c r="I13" t="inlineStr"/>
    </row>
    <row r="14">
      <c r="A14" t="n">
        <v>373</v>
      </c>
      <c r="B14" t="inlineStr">
        <is>
          <t>Augpen -DS Suspension</t>
        </is>
      </c>
      <c r="C14">
        <f>HYPERLINK("https://www.1mg.com/drugs/augpen-ds-suspension-148330", "Click Here")</f>
        <v/>
      </c>
      <c r="D14" t="inlineStr"/>
      <c r="E14">
        <f>HYPERLINK("https://pharmeasy.in/online-medicine-order/augpen-ds-457mg-bottle-of-30ml-suspension-47045", "Click Here")</f>
        <v/>
      </c>
      <c r="F14" t="inlineStr"/>
      <c r="G14">
        <f>HYPERLINK("https://www.apollopharmacy.in/medicine/augpen-es-oral-suspension-50-ml", "Click Here")</f>
        <v/>
      </c>
      <c r="H14" t="inlineStr"/>
      <c r="I14" t="inlineStr"/>
    </row>
    <row r="15">
      <c r="A15" t="n">
        <v>374</v>
      </c>
      <c r="B15" t="inlineStr">
        <is>
          <t>Augpen 625 BID Tablet</t>
        </is>
      </c>
      <c r="C15" t="inlineStr">
        <is>
          <t>N/A</t>
        </is>
      </c>
      <c r="D15" t="inlineStr"/>
      <c r="E15">
        <f>HYPERLINK("https://pharmeasy.in/online-medicine-order/augpen-bid-625mg-strip-of-10-tablets-35928", "Click Here")</f>
        <v/>
      </c>
      <c r="F15" t="inlineStr"/>
      <c r="G15" t="inlineStr">
        <is>
          <t>N/A</t>
        </is>
      </c>
      <c r="H15" t="inlineStr"/>
      <c r="I15" t="inlineStr"/>
    </row>
    <row r="16">
      <c r="A16" t="n">
        <v>375</v>
      </c>
      <c r="B16" t="inlineStr">
        <is>
          <t>Augpen LB 625 Tablet</t>
        </is>
      </c>
      <c r="C16" t="inlineStr">
        <is>
          <t>N/A</t>
        </is>
      </c>
      <c r="D16" t="inlineStr"/>
      <c r="E16">
        <f>HYPERLINK("https://pharmeasy.in/online-medicine-order/augpen-lb-625mg-strip-of-10-tablets-35927", "Click Here")</f>
        <v/>
      </c>
      <c r="F16" t="inlineStr"/>
      <c r="G16">
        <f>HYPERLINK("https://www.apollopharmacy.in/medicine/augpen-lb-625mg-tablet", "Click Here")</f>
        <v/>
      </c>
      <c r="H16" t="inlineStr"/>
      <c r="I16" t="inlineStr"/>
    </row>
    <row r="17">
      <c r="A17" t="n">
        <v>376</v>
      </c>
      <c r="B17" t="inlineStr">
        <is>
          <t>Aulin 100mg Tablet</t>
        </is>
      </c>
      <c r="C17">
        <f>HYPERLINK("https://www.1mg.com/drugs/aulin-100mg-tablet-296386", "Click Here")</f>
        <v/>
      </c>
      <c r="D17" t="inlineStr"/>
      <c r="E17" t="inlineStr">
        <is>
          <t>N/A</t>
        </is>
      </c>
      <c r="F17" t="inlineStr"/>
      <c r="G17" t="inlineStr">
        <is>
          <t>N/A</t>
        </is>
      </c>
      <c r="H17" t="inlineStr"/>
      <c r="I17" t="inlineStr"/>
    </row>
    <row r="18">
      <c r="A18" t="n">
        <v>377</v>
      </c>
      <c r="B18" t="inlineStr">
        <is>
          <t>Avanair 100 Tablet</t>
        </is>
      </c>
      <c r="C18">
        <f>HYPERLINK("https://www.1mg.com/drugs/avanair-100-tablet-752005", "Click Here")</f>
        <v/>
      </c>
      <c r="D18" t="inlineStr"/>
      <c r="E18">
        <f>HYPERLINK("https://pharmeasy.in/online-medicine-order/avanair-100mg-strip-of-4-tablets-3705519", "Click Here")</f>
        <v/>
      </c>
      <c r="F18" t="inlineStr"/>
      <c r="G18" t="inlineStr">
        <is>
          <t>N/A</t>
        </is>
      </c>
      <c r="H18" t="inlineStr"/>
      <c r="I18" t="inlineStr"/>
    </row>
    <row r="19">
      <c r="A19" t="n">
        <v>378</v>
      </c>
      <c r="B19" t="inlineStr">
        <is>
          <t>Avil Injection</t>
        </is>
      </c>
      <c r="C19" t="inlineStr">
        <is>
          <t>N/A</t>
        </is>
      </c>
      <c r="D19" t="inlineStr"/>
      <c r="E19">
        <f>HYPERLINK("https://pharmeasy.in/online-medicine-order/avillin-25mg-inj-1ml-78606", "Click Here")</f>
        <v/>
      </c>
      <c r="F19" t="inlineStr"/>
      <c r="G19">
        <f>HYPERLINK("https://www.apollopharmacy.in/medicine/avil-injection-2ml", "Click Here")</f>
        <v/>
      </c>
      <c r="H19" t="inlineStr"/>
      <c r="I19" t="inlineStr"/>
    </row>
    <row r="20">
      <c r="A20" t="n">
        <v>379</v>
      </c>
      <c r="B20" t="inlineStr">
        <is>
          <t>Avomine Tablet</t>
        </is>
      </c>
      <c r="C20">
        <f>HYPERLINK("https://www.1mg.com/drugs/avomine-tablet-28784", "Click Here")</f>
        <v/>
      </c>
      <c r="D20" t="inlineStr"/>
      <c r="E20">
        <f>HYPERLINK("https://pharmeasy.in/online-medicine-order/avomine-25mg-tablet-36050", "Click Here")</f>
        <v/>
      </c>
      <c r="F20" t="inlineStr"/>
      <c r="G20">
        <f>HYPERLINK("https://www.apollopharmacy.in/medicine/avomine-25mg-tablet", "Click Here")</f>
        <v/>
      </c>
      <c r="H20" t="inlineStr"/>
      <c r="I20" t="inlineStr"/>
    </row>
    <row r="21">
      <c r="A21" t="n">
        <v>380</v>
      </c>
      <c r="B21" t="inlineStr">
        <is>
          <t>Axogurd NT Tablet SR</t>
        </is>
      </c>
      <c r="C21">
        <f>HYPERLINK("https://www.1mg.com/drugs/axogurd-nt-tablet-sr-343209", "Click Here")</f>
        <v/>
      </c>
      <c r="D21" t="inlineStr"/>
      <c r="E21">
        <f>HYPERLINK("https://pharmeasy.in/online-medicine-order/axogurd-nt-sr-tab-10-s-174672", "Click Here")</f>
        <v/>
      </c>
      <c r="F21" t="inlineStr"/>
      <c r="G21" t="inlineStr">
        <is>
          <t>N/A</t>
        </is>
      </c>
      <c r="H21" t="inlineStr"/>
      <c r="I21" t="inlineStr"/>
    </row>
    <row r="22">
      <c r="A22" t="n">
        <v>381</v>
      </c>
      <c r="B22" t="inlineStr">
        <is>
          <t>Azax 500 Tablet</t>
        </is>
      </c>
      <c r="C22">
        <f>HYPERLINK("https://www.1mg.com/drugs/azax-500-tablet-47676", "Click Here")</f>
        <v/>
      </c>
      <c r="D22" t="inlineStr"/>
      <c r="E22">
        <f>HYPERLINK("https://pharmeasy.in/online-medicine-order/azax-500mg-tablet-36255", "Click Here")</f>
        <v/>
      </c>
      <c r="F22" t="inlineStr"/>
      <c r="G22">
        <f>HYPERLINK("https://www.apollopharmacy.in/medicine/azax-500mg-tablet", "Click Here")</f>
        <v/>
      </c>
      <c r="H22" t="inlineStr"/>
      <c r="I22" t="inlineStr"/>
    </row>
    <row r="23">
      <c r="A23" t="n">
        <v>382</v>
      </c>
      <c r="B23" t="inlineStr">
        <is>
          <t>Azeflo Nasal Spray</t>
        </is>
      </c>
      <c r="C23">
        <f>HYPERLINK("https://www.1mg.com/drugs/azeflo-nasal-spray-63478", "Click Here")</f>
        <v/>
      </c>
      <c r="D23" t="inlineStr"/>
      <c r="E23">
        <f>HYPERLINK("https://pharmeasy.in/online-medicine-order/azeflo-nasal-spray-7ml-36263", "Click Here")</f>
        <v/>
      </c>
      <c r="F23" t="inlineStr"/>
      <c r="G23" t="inlineStr">
        <is>
          <t>N/A</t>
        </is>
      </c>
      <c r="H23" t="inlineStr"/>
      <c r="I23" t="inlineStr"/>
    </row>
    <row r="24">
      <c r="A24" t="n">
        <v>383</v>
      </c>
      <c r="B24" t="inlineStr">
        <is>
          <t>Azibact LR Readymix 200</t>
        </is>
      </c>
      <c r="C24">
        <f>HYPERLINK("https://www.1mg.com/drugs/azibact-lr-readymix-200-oral-suspension-256828", "Click Here")</f>
        <v/>
      </c>
      <c r="D24" t="inlineStr"/>
      <c r="E24">
        <f>HYPERLINK("https://pharmeasy.in/online-medicine-order/azibact-lr-200mg-readymix-36278", "Click Here")</f>
        <v/>
      </c>
      <c r="F24" t="inlineStr"/>
      <c r="G24">
        <f>HYPERLINK("https://www.apollopharmacy.in/medicine/azibact-lr-200-mg-readymix-syrup-30-ml", "Click Here")</f>
        <v/>
      </c>
      <c r="H24" t="inlineStr"/>
      <c r="I24" t="inlineStr"/>
    </row>
    <row r="25">
      <c r="A25" t="n">
        <v>384</v>
      </c>
      <c r="B25" t="inlineStr">
        <is>
          <t>Azicip 500 Tablet</t>
        </is>
      </c>
      <c r="C25">
        <f>HYPERLINK("https://www.1mg.com/drugs/azicip-500-tablet-263487", "Click Here")</f>
        <v/>
      </c>
      <c r="D25" t="inlineStr"/>
      <c r="E25">
        <f>HYPERLINK("https://pharmeasy.in/online-medicine-order/azicip-500mg-tablet-36287", "Click Here")</f>
        <v/>
      </c>
      <c r="F25" t="inlineStr"/>
      <c r="G25" t="inlineStr">
        <is>
          <t>N/A</t>
        </is>
      </c>
      <c r="H25" t="inlineStr"/>
      <c r="I25" t="inlineStr"/>
    </row>
    <row r="26">
      <c r="A26" t="n">
        <v>385</v>
      </c>
      <c r="B26" t="inlineStr">
        <is>
          <t>Azikem 500mg Tablet</t>
        </is>
      </c>
      <c r="C26">
        <f>HYPERLINK("https://www.1mg.com/drugs/azikem-500mg-tablet-279137", "Click Here")</f>
        <v/>
      </c>
      <c r="D26" t="inlineStr"/>
      <c r="E26">
        <f>HYPERLINK("https://pharmeasy.in/online-medicine-order/azikem-500mg-strip-of-3-tablets-2569", "Click Here")</f>
        <v/>
      </c>
      <c r="F26" t="inlineStr"/>
      <c r="G26" t="inlineStr">
        <is>
          <t>N/A</t>
        </is>
      </c>
      <c r="H26" t="inlineStr"/>
      <c r="I26" t="inlineStr"/>
    </row>
    <row r="27">
      <c r="A27" t="n">
        <v>386</v>
      </c>
      <c r="B27" t="inlineStr">
        <is>
          <t>Azithral 200 Liquid</t>
        </is>
      </c>
      <c r="C27">
        <f>HYPERLINK("https://www.1mg.com/drugs/azithral-200-liquid-134462", "Click Here")</f>
        <v/>
      </c>
      <c r="D27" t="inlineStr"/>
      <c r="E27">
        <f>HYPERLINK("https://pharmeasy.in/online-medicine-order/azithral-xl-200mg-bottle-of-30ml-liquid-36363", "Click Here")</f>
        <v/>
      </c>
      <c r="F27" t="inlineStr"/>
      <c r="G27">
        <f>HYPERLINK("https://www.apollopharmacy.in/medicine/azithral-200mg-syrup-15ml", "Click Here")</f>
        <v/>
      </c>
      <c r="H27" t="inlineStr"/>
      <c r="I27" t="inlineStr"/>
    </row>
    <row r="28">
      <c r="A28" t="n">
        <v>387</v>
      </c>
      <c r="B28" t="inlineStr">
        <is>
          <t>Azithral 500 Tablet</t>
        </is>
      </c>
      <c r="C28">
        <f>HYPERLINK("https://www.1mg.com/drugs/azithral-500-tablet-325616", "Click Here")</f>
        <v/>
      </c>
      <c r="D28" t="inlineStr"/>
      <c r="E28">
        <f>HYPERLINK("https://pharmeasy.in/online-medicine-order/azithral-500mg-tab-5-s-183974", "Click Here")</f>
        <v/>
      </c>
      <c r="F28" t="inlineStr"/>
      <c r="G28">
        <f>HYPERLINK("https://www.apollopharmacy.in/medicine/azithral-500mg-tablet", "Click Here")</f>
        <v/>
      </c>
      <c r="H28" t="inlineStr"/>
      <c r="I28" t="inlineStr"/>
    </row>
    <row r="29">
      <c r="A29" t="n">
        <v>388</v>
      </c>
      <c r="B29" t="inlineStr">
        <is>
          <t>Azithral XL 200 Liquid</t>
        </is>
      </c>
      <c r="C29">
        <f>HYPERLINK("https://www.1mg.com/drugs/azithral-200-liquid-134462", "Click Here")</f>
        <v/>
      </c>
      <c r="D29" t="inlineStr"/>
      <c r="E29">
        <f>HYPERLINK("https://pharmeasy.in/online-medicine-order/azithral-xl-200mg-bottle-of-30ml-liquid-36363", "Click Here")</f>
        <v/>
      </c>
      <c r="F29" t="inlineStr"/>
      <c r="G29" t="inlineStr">
        <is>
          <t>N/A</t>
        </is>
      </c>
      <c r="H29" t="inlineStr"/>
      <c r="I29" t="inlineStr"/>
    </row>
    <row r="30">
      <c r="A30" t="n">
        <v>389</v>
      </c>
      <c r="B30" t="inlineStr">
        <is>
          <t>Azmarda 100mg Tablet</t>
        </is>
      </c>
      <c r="C30">
        <f>HYPERLINK("https://www.1mg.com/drugs/azmarda-100mg-tablet-345282", "Click Here")</f>
        <v/>
      </c>
      <c r="D30" t="inlineStr"/>
      <c r="E30">
        <f>HYPERLINK("https://pharmeasy.in/online-medicine-order/azmarda-100mg-tablet-10-s-215395", "Click Here")</f>
        <v/>
      </c>
      <c r="F30" t="inlineStr"/>
      <c r="G30">
        <f>HYPERLINK("https://www.apollopharmacy.in/medicine/azmarda-100mg-tablet-14-s", "Click Here")</f>
        <v/>
      </c>
      <c r="H30" t="inlineStr"/>
      <c r="I30" t="inlineStr"/>
    </row>
    <row r="31">
      <c r="A31" t="n">
        <v>390</v>
      </c>
      <c r="B31" t="inlineStr">
        <is>
          <t>Azmarda 50mg Tablet</t>
        </is>
      </c>
      <c r="C31">
        <f>HYPERLINK("https://www.1mg.com/drugs/azmarda-50mg-tablet-345285", "Click Here")</f>
        <v/>
      </c>
      <c r="D31" t="inlineStr"/>
      <c r="E31">
        <f>HYPERLINK("https://pharmeasy.in/online-medicine-order/azmarda-50mg-strip-of-14-tablets-170417", "Click Here")</f>
        <v/>
      </c>
      <c r="F31" t="inlineStr"/>
      <c r="G31" t="inlineStr">
        <is>
          <t>N/A</t>
        </is>
      </c>
      <c r="H31" t="inlineStr"/>
      <c r="I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391</v>
      </c>
      <c r="B2" t="inlineStr">
        <is>
          <t>Azoflox UTI Tablet</t>
        </is>
      </c>
      <c r="C2" t="inlineStr">
        <is>
          <t>N/A</t>
        </is>
      </c>
      <c r="D2" t="inlineStr"/>
      <c r="E2">
        <f>HYPERLINK("https://pharmeasy.in/online-medicine-order/zenflox-uti-orange-flavour-sachet-of-8gm-oral-powder-4486774", "Click Here")</f>
        <v/>
      </c>
      <c r="F2" t="inlineStr"/>
      <c r="G2">
        <f>HYPERLINK("https://www.apollopharmacy.in/medicine/azoflox-uti-tablet", "Click Here")</f>
        <v/>
      </c>
      <c r="H2" t="inlineStr"/>
      <c r="I2" t="inlineStr"/>
    </row>
    <row r="3">
      <c r="A3" t="n">
        <v>392</v>
      </c>
      <c r="B3" t="inlineStr">
        <is>
          <t>Azopt Opthalmic Suspension</t>
        </is>
      </c>
      <c r="C3">
        <f>HYPERLINK("https://www.1mg.com/drugs/azopt-opthalmic-suspension-129127", "Click Here")</f>
        <v/>
      </c>
      <c r="D3" t="inlineStr"/>
      <c r="E3" t="inlineStr">
        <is>
          <t>N/A</t>
        </is>
      </c>
      <c r="F3" t="inlineStr"/>
      <c r="G3" t="inlineStr">
        <is>
          <t>N/A</t>
        </is>
      </c>
      <c r="H3" t="inlineStr"/>
      <c r="I3" t="inlineStr"/>
    </row>
    <row r="4">
      <c r="A4" t="n">
        <v>393</v>
      </c>
      <c r="B4" t="inlineStr">
        <is>
          <t>AZR Tablet</t>
        </is>
      </c>
      <c r="C4">
        <f>HYPERLINK("https://www.1mg.com/drugs/azr-tablet-342062", "Click Here")</f>
        <v/>
      </c>
      <c r="D4" t="inlineStr"/>
      <c r="E4">
        <f>HYPERLINK("https://pharmeasy.in/online-medicine-order/azr-strip-of-10-tablets-170400", "Click Here")</f>
        <v/>
      </c>
      <c r="F4" t="inlineStr"/>
      <c r="G4">
        <f>HYPERLINK("https://www.apollopharmacy.in/medicine/azr-50mg-tablet-10-s", "Click Here")</f>
        <v/>
      </c>
      <c r="H4" t="inlineStr"/>
      <c r="I4" t="inlineStr"/>
    </row>
    <row r="5">
      <c r="A5" t="n">
        <v>394</v>
      </c>
      <c r="B5" t="inlineStr">
        <is>
          <t>Aztolet  10 Tablet</t>
        </is>
      </c>
      <c r="C5">
        <f>HYPERLINK("https://www.1mg.com/drugs/aztolet-10-tablet-229727", "Click Here")</f>
        <v/>
      </c>
      <c r="D5" t="inlineStr"/>
      <c r="E5">
        <f>HYPERLINK("https://pharmeasy.in/online-medicine-order/aztolet-10mg-tablet-25708", "Click Here")</f>
        <v/>
      </c>
      <c r="F5" t="inlineStr"/>
      <c r="G5" t="inlineStr">
        <is>
          <t>N/A</t>
        </is>
      </c>
      <c r="H5" t="inlineStr"/>
      <c r="I5" t="inlineStr"/>
    </row>
    <row r="6">
      <c r="A6" t="n">
        <v>395</v>
      </c>
      <c r="B6" t="inlineStr">
        <is>
          <t>Aztor 10 Tablet</t>
        </is>
      </c>
      <c r="C6">
        <f>HYPERLINK("https://www.1mg.com/drugs/aztor-10-tablet-345047", "Click Here")</f>
        <v/>
      </c>
      <c r="D6" t="inlineStr"/>
      <c r="E6">
        <f>HYPERLINK("https://pharmeasy.in/online-medicine-order/aztor-ez-10mg-tablet-36442", "Click Here")</f>
        <v/>
      </c>
      <c r="F6" t="inlineStr"/>
      <c r="G6" t="inlineStr">
        <is>
          <t>N/A</t>
        </is>
      </c>
      <c r="H6" t="inlineStr"/>
      <c r="I6" t="inlineStr"/>
    </row>
    <row r="7">
      <c r="A7" t="n">
        <v>396</v>
      </c>
      <c r="B7" t="inlineStr">
        <is>
          <t>Azulix 1 MF Tablet PR</t>
        </is>
      </c>
      <c r="C7">
        <f>HYPERLINK("https://www.1mg.com/drugs/azulix-1-mf-tablet-pr-337905", "Click Here")</f>
        <v/>
      </c>
      <c r="D7" t="inlineStr"/>
      <c r="E7">
        <f>HYPERLINK("https://pharmeasy.in/online-medicine-order/azulix-mf-1mg-strip-of-15-tablets-27221", "Click Here")</f>
        <v/>
      </c>
      <c r="F7" t="inlineStr"/>
      <c r="G7">
        <f>HYPERLINK("https://www.apollopharmacy.in/medicine/azulix-mf-1mg-tablet", "Click Here")</f>
        <v/>
      </c>
      <c r="H7" t="inlineStr"/>
      <c r="I7" t="inlineStr"/>
    </row>
    <row r="8">
      <c r="A8" t="n">
        <v>397</v>
      </c>
      <c r="B8" t="inlineStr">
        <is>
          <t>Azulix 1 Tablet</t>
        </is>
      </c>
      <c r="C8">
        <f>HYPERLINK("https://www.1mg.com/drugs/azulix-1-tablet-183771", "Click Here")</f>
        <v/>
      </c>
      <c r="D8" t="inlineStr"/>
      <c r="E8">
        <f>HYPERLINK("https://pharmeasy.in/online-medicine-order/azulix-1mg-tablet-36454", "Click Here")</f>
        <v/>
      </c>
      <c r="F8" t="inlineStr"/>
      <c r="G8" t="inlineStr">
        <is>
          <t>N/A</t>
        </is>
      </c>
      <c r="H8" t="inlineStr"/>
      <c r="I8" t="inlineStr"/>
    </row>
    <row r="9">
      <c r="A9" t="n">
        <v>398</v>
      </c>
      <c r="B9" t="inlineStr">
        <is>
          <t>Betaloc</t>
        </is>
      </c>
      <c r="C9">
        <f>HYPERLINK("https://www.1mg.com/drugs/betaloc-25mg-tablet-1118850", "Click Here")</f>
        <v/>
      </c>
      <c r="D9" t="inlineStr"/>
      <c r="E9">
        <f>HYPERLINK("https://pharmeasy.in/online-medicine-order/betaloc-25mg-strip-of-20-tablets-4491551", "Click Here")</f>
        <v/>
      </c>
      <c r="F9" t="inlineStr"/>
      <c r="G9" t="inlineStr">
        <is>
          <t>N/A</t>
        </is>
      </c>
      <c r="H9" t="inlineStr"/>
      <c r="I9" t="inlineStr"/>
    </row>
    <row r="10">
      <c r="A10" t="n">
        <v>399</v>
      </c>
      <c r="B10" t="inlineStr">
        <is>
          <t>Breezy</t>
        </is>
      </c>
      <c r="C10" t="inlineStr">
        <is>
          <t>N/A</t>
        </is>
      </c>
      <c r="D10" t="inlineStr"/>
      <c r="E10" t="inlineStr">
        <is>
          <t>N/A</t>
        </is>
      </c>
      <c r="F10" t="inlineStr"/>
      <c r="G10" t="inlineStr">
        <is>
          <t>N/A</t>
        </is>
      </c>
      <c r="H10" t="inlineStr"/>
      <c r="I10" t="inlineStr"/>
    </row>
    <row r="11">
      <c r="A11" t="n">
        <v>400</v>
      </c>
      <c r="B11" t="inlineStr">
        <is>
          <t>Calpol</t>
        </is>
      </c>
      <c r="C11">
        <f>HYPERLINK("https://www.1mg.com/drugs/calpol-650-tablet-842047", "Click Here")</f>
        <v/>
      </c>
      <c r="D11" t="inlineStr"/>
      <c r="E11">
        <f>HYPERLINK("https://pharmeasy.in/online-medicine-order/calpol-650mg-plus-strip-of-15-tablets-3964123", "Click Here")</f>
        <v/>
      </c>
      <c r="F11" t="inlineStr"/>
      <c r="G11" t="inlineStr">
        <is>
          <t>N/A</t>
        </is>
      </c>
      <c r="H11" t="inlineStr"/>
      <c r="I11" t="inlineStr"/>
    </row>
    <row r="12">
      <c r="A12" t="n">
        <v>401</v>
      </c>
      <c r="B12" t="inlineStr">
        <is>
          <t>Chol D</t>
        </is>
      </c>
      <c r="C12">
        <f>HYPERLINK("https://www.1mg.com/drugs/chol-d-softgel-capsule-1154220", "Click Here")</f>
        <v/>
      </c>
      <c r="D12" t="inlineStr"/>
      <c r="E12" t="inlineStr">
        <is>
          <t>N/A</t>
        </is>
      </c>
      <c r="F12" t="inlineStr"/>
      <c r="G12" t="inlineStr">
        <is>
          <t>N/A</t>
        </is>
      </c>
      <c r="H12" t="inlineStr"/>
      <c r="I12" t="inlineStr"/>
    </row>
    <row r="13">
      <c r="A13" t="n">
        <v>402</v>
      </c>
      <c r="B13" t="inlineStr">
        <is>
          <t>Cimetidine</t>
        </is>
      </c>
      <c r="C13" t="inlineStr">
        <is>
          <t>N/A</t>
        </is>
      </c>
      <c r="D13" t="inlineStr"/>
      <c r="E13">
        <f>HYPERLINK("https://pharmeasy.in/online-medicine-order/cimetidine-chc-tab-40546", "Click Here")</f>
        <v/>
      </c>
      <c r="F13" t="inlineStr"/>
      <c r="G13" t="inlineStr">
        <is>
          <t>N/A</t>
        </is>
      </c>
      <c r="H13" t="inlineStr"/>
      <c r="I13" t="inlineStr"/>
    </row>
    <row r="14">
      <c r="A14" t="n">
        <v>403</v>
      </c>
      <c r="B14" t="inlineStr">
        <is>
          <t>Clo Cold</t>
        </is>
      </c>
      <c r="C14" t="inlineStr">
        <is>
          <t>N/A</t>
        </is>
      </c>
      <c r="D14" t="inlineStr"/>
      <c r="E14" t="inlineStr">
        <is>
          <t>N/A</t>
        </is>
      </c>
      <c r="F14" t="inlineStr"/>
      <c r="G14" t="inlineStr">
        <is>
          <t>N/A</t>
        </is>
      </c>
      <c r="H14" t="inlineStr"/>
      <c r="I14" t="inlineStr"/>
    </row>
    <row r="15">
      <c r="A15" t="n">
        <v>404</v>
      </c>
      <c r="B15" t="inlineStr">
        <is>
          <t>Combiflam Tablet</t>
        </is>
      </c>
      <c r="C15" t="inlineStr">
        <is>
          <t>N/A</t>
        </is>
      </c>
      <c r="D15" t="inlineStr"/>
      <c r="E15">
        <f>HYPERLINK("https://pharmeasy.in/online-medicine-order/combiflam-strip-of-20-tablets-24074", "Click Here")</f>
        <v/>
      </c>
      <c r="F15" t="inlineStr"/>
      <c r="G15">
        <f>HYPERLINK("https://www.apollopharmacy.in/medicine/combiflam-tablet", "Click Here")</f>
        <v/>
      </c>
      <c r="H15" t="inlineStr"/>
      <c r="I15" t="inlineStr"/>
    </row>
    <row r="16">
      <c r="A16" t="n">
        <v>405</v>
      </c>
      <c r="B16" t="inlineStr">
        <is>
          <t>Dolo 650 Tablet</t>
        </is>
      </c>
      <c r="C16" t="inlineStr">
        <is>
          <t>N/A</t>
        </is>
      </c>
      <c r="D16" t="inlineStr"/>
      <c r="E16">
        <f>HYPERLINK("https://pharmeasy.in/online-medicine-order/dolo-650-tablet-15-s-38438", "Click Here")</f>
        <v/>
      </c>
      <c r="F16" t="inlineStr"/>
      <c r="G16">
        <f>HYPERLINK("https://www.apollopharmacy.in/otc/dolo-650mg-tablet-15-s", "Click Here")</f>
        <v/>
      </c>
      <c r="H16" t="inlineStr"/>
      <c r="I16" t="inlineStr"/>
    </row>
    <row r="17">
      <c r="A17" t="n">
        <v>406</v>
      </c>
      <c r="B17" t="inlineStr">
        <is>
          <t>Eurovustin</t>
        </is>
      </c>
      <c r="C17" t="inlineStr">
        <is>
          <t>N/A</t>
        </is>
      </c>
      <c r="D17" t="inlineStr"/>
      <c r="E17" t="inlineStr">
        <is>
          <t>N/A</t>
        </is>
      </c>
      <c r="F17" t="inlineStr"/>
      <c r="G17" t="inlineStr">
        <is>
          <t>N/A</t>
        </is>
      </c>
      <c r="H17" t="inlineStr"/>
      <c r="I17" t="inlineStr"/>
    </row>
    <row r="18">
      <c r="A18" t="n">
        <v>407</v>
      </c>
      <c r="B18" t="inlineStr">
        <is>
          <t>Evrovastin</t>
        </is>
      </c>
      <c r="C18" t="inlineStr">
        <is>
          <t>N/A</t>
        </is>
      </c>
      <c r="D18" t="inlineStr"/>
      <c r="E18" t="inlineStr">
        <is>
          <t>N/A</t>
        </is>
      </c>
      <c r="F18" t="inlineStr"/>
      <c r="G18" t="inlineStr">
        <is>
          <t>N/A</t>
        </is>
      </c>
      <c r="H18" t="inlineStr"/>
      <c r="I18" t="inlineStr"/>
    </row>
    <row r="19">
      <c r="A19" t="n">
        <v>408</v>
      </c>
      <c r="B19" t="inlineStr">
        <is>
          <t>Fxfaro</t>
        </is>
      </c>
      <c r="C19" t="inlineStr">
        <is>
          <t>N/A</t>
        </is>
      </c>
      <c r="D19" t="inlineStr"/>
      <c r="E19" t="inlineStr">
        <is>
          <t>N/A</t>
        </is>
      </c>
      <c r="F19" t="inlineStr"/>
      <c r="G19" t="inlineStr">
        <is>
          <t>N/A</t>
        </is>
      </c>
      <c r="H19" t="inlineStr"/>
      <c r="I19" t="inlineStr"/>
    </row>
    <row r="20">
      <c r="A20" t="n">
        <v>409</v>
      </c>
      <c r="B20" t="inlineStr">
        <is>
          <t>Grostone</t>
        </is>
      </c>
      <c r="C20" t="inlineStr">
        <is>
          <t>N/A</t>
        </is>
      </c>
      <c r="D20" t="inlineStr"/>
      <c r="E20" t="inlineStr">
        <is>
          <t>N/A</t>
        </is>
      </c>
      <c r="F20" t="inlineStr"/>
      <c r="G20" t="inlineStr">
        <is>
          <t>N/A</t>
        </is>
      </c>
      <c r="H20" t="inlineStr"/>
      <c r="I20" t="inlineStr"/>
    </row>
    <row r="21">
      <c r="A21" t="n">
        <v>410</v>
      </c>
      <c r="B21" t="inlineStr">
        <is>
          <t>Himox</t>
        </is>
      </c>
      <c r="C21">
        <f>HYPERLINK("https://www.1mg.com/drugs/himox-b-250mg-8mg-tablet-429158", "Click Here")</f>
        <v/>
      </c>
      <c r="D21" t="inlineStr"/>
      <c r="E21" t="inlineStr">
        <is>
          <t>N/A</t>
        </is>
      </c>
      <c r="F21" t="inlineStr"/>
      <c r="G21" t="inlineStr">
        <is>
          <t>N/A</t>
        </is>
      </c>
      <c r="H21" t="inlineStr"/>
      <c r="I21" t="inlineStr"/>
    </row>
    <row r="22">
      <c r="A22" t="n">
        <v>411</v>
      </c>
      <c r="B22" t="inlineStr">
        <is>
          <t>Instatn</t>
        </is>
      </c>
      <c r="C22" t="inlineStr">
        <is>
          <t>N/A</t>
        </is>
      </c>
      <c r="D22" t="inlineStr"/>
      <c r="E22" t="inlineStr">
        <is>
          <t>N/A</t>
        </is>
      </c>
      <c r="F22" t="inlineStr"/>
      <c r="G22" t="inlineStr">
        <is>
          <t>N/A</t>
        </is>
      </c>
      <c r="H22" t="inlineStr"/>
      <c r="I22" t="inlineStr"/>
    </row>
    <row r="23">
      <c r="A23" t="n">
        <v>412</v>
      </c>
      <c r="B23" t="inlineStr">
        <is>
          <t>Irostore</t>
        </is>
      </c>
      <c r="C23" t="inlineStr">
        <is>
          <t>N/A</t>
        </is>
      </c>
      <c r="D23" t="inlineStr"/>
      <c r="E23">
        <f>HYPERLINK("https://pharmeasy.in/online-medicine-order/irostore-strip-of-10-capsules-3580977", "Click Here")</f>
        <v/>
      </c>
      <c r="F23" t="inlineStr"/>
      <c r="G23" t="inlineStr">
        <is>
          <t>N/A</t>
        </is>
      </c>
      <c r="H23" t="inlineStr"/>
      <c r="I23" t="inlineStr"/>
    </row>
    <row r="24">
      <c r="A24" t="n">
        <v>413</v>
      </c>
      <c r="B24" t="inlineStr">
        <is>
          <t>Lanol Er</t>
        </is>
      </c>
      <c r="C24">
        <f>HYPERLINK("https://www.1mg.com/drugs/lanol-er-tablet-162680", "Click Here")</f>
        <v/>
      </c>
      <c r="D24" t="inlineStr"/>
      <c r="E24">
        <f>HYPERLINK("https://pharmeasy.in/online-medicine-order/lanol-er-650mg-tablet-12678", "Click Here")</f>
        <v/>
      </c>
      <c r="F24" t="inlineStr"/>
      <c r="G24" t="inlineStr">
        <is>
          <t>N/A</t>
        </is>
      </c>
      <c r="H24" t="inlineStr"/>
      <c r="I24" t="inlineStr"/>
    </row>
    <row r="25">
      <c r="A25" t="n">
        <v>414</v>
      </c>
      <c r="B25" t="inlineStr">
        <is>
          <t>Multineur</t>
        </is>
      </c>
      <c r="C25" t="inlineStr">
        <is>
          <t>N/A</t>
        </is>
      </c>
      <c r="D25" t="inlineStr"/>
      <c r="E25" t="inlineStr">
        <is>
          <t>N/A</t>
        </is>
      </c>
      <c r="F25" t="inlineStr"/>
      <c r="G25" t="inlineStr">
        <is>
          <t>N/A</t>
        </is>
      </c>
      <c r="H25" t="inlineStr"/>
      <c r="I25" t="inlineStr"/>
    </row>
    <row r="26">
      <c r="A26" t="n">
        <v>415</v>
      </c>
      <c r="B26" t="inlineStr">
        <is>
          <t>Niftas</t>
        </is>
      </c>
      <c r="C26">
        <f>HYPERLINK("https://www.1mg.com/drugs/niftas-tablet-sr-845848", "Click Here")</f>
        <v/>
      </c>
      <c r="D26" t="inlineStr"/>
      <c r="E26">
        <f>HYPERLINK("https://pharmeasy.in/online-medicine-order/niftas-100mg-strip-of-14-tablets-3964129", "Click Here")</f>
        <v/>
      </c>
      <c r="F26" t="inlineStr"/>
      <c r="G26" t="inlineStr">
        <is>
          <t>N/A</t>
        </is>
      </c>
      <c r="H26" t="inlineStr"/>
      <c r="I26" t="inlineStr"/>
    </row>
    <row r="27">
      <c r="A27" t="n">
        <v>416</v>
      </c>
      <c r="B27" t="inlineStr">
        <is>
          <t>Opox-Cv</t>
        </is>
      </c>
      <c r="C27">
        <f>HYPERLINK("https://www.1mg.com/drugs/opox-cv-200-tablet-160123", "Click Here")</f>
        <v/>
      </c>
      <c r="D27" t="inlineStr"/>
      <c r="E27">
        <f>HYPERLINK("https://pharmeasy.in/online-medicine-order/opox-cv-200mg-strip-of-10-tablets-12775", "Click Here")</f>
        <v/>
      </c>
      <c r="F27" t="inlineStr"/>
      <c r="G27" t="inlineStr">
        <is>
          <t>N/A</t>
        </is>
      </c>
      <c r="H27" t="inlineStr"/>
      <c r="I27" t="inlineStr"/>
    </row>
    <row r="28">
      <c r="A28" t="n">
        <v>417</v>
      </c>
      <c r="B28" t="inlineStr">
        <is>
          <t>Pan-D Capsule</t>
        </is>
      </c>
      <c r="C28">
        <f>HYPERLINK("https://www.1mg.com/drugs/pan-d-capsule-pr-343042", "Click Here")</f>
        <v/>
      </c>
      <c r="D28" t="inlineStr"/>
      <c r="E28">
        <f>HYPERLINK("https://pharmeasy.in/online-medicine-order/pan-d-cap-15-s-5323", "Click Here")</f>
        <v/>
      </c>
      <c r="F28" t="inlineStr"/>
      <c r="G28">
        <f>HYPERLINK("https://www.apollopharmacy.in/otc/pan-d-capsule", "Click Here")</f>
        <v/>
      </c>
      <c r="H28" t="inlineStr"/>
      <c r="I28" t="inlineStr"/>
    </row>
    <row r="29">
      <c r="A29" t="n">
        <v>418</v>
      </c>
      <c r="B29" t="inlineStr">
        <is>
          <t>Rapaflow D</t>
        </is>
      </c>
      <c r="C29">
        <f>HYPERLINK("https://www.1mg.com/drugs/rapaflow-d-tablet-er-881409", "Click Here")</f>
        <v/>
      </c>
      <c r="D29" t="inlineStr"/>
      <c r="E29" t="inlineStr">
        <is>
          <t>N/A</t>
        </is>
      </c>
      <c r="F29" t="inlineStr"/>
      <c r="G29" t="inlineStr">
        <is>
          <t>N/A</t>
        </is>
      </c>
      <c r="H29" t="inlineStr"/>
      <c r="I29" t="inlineStr"/>
    </row>
    <row r="30">
      <c r="A30" t="n">
        <v>419</v>
      </c>
      <c r="B30" t="inlineStr">
        <is>
          <t>Shipen-D</t>
        </is>
      </c>
      <c r="C30" t="inlineStr">
        <is>
          <t>N/A</t>
        </is>
      </c>
      <c r="D30" t="inlineStr"/>
      <c r="E30" t="inlineStr">
        <is>
          <t>N/A</t>
        </is>
      </c>
      <c r="F30" t="inlineStr"/>
      <c r="G30" t="inlineStr">
        <is>
          <t>N/A</t>
        </is>
      </c>
      <c r="H30" t="inlineStr"/>
      <c r="I30" t="inlineStr"/>
    </row>
    <row r="31">
      <c r="A31" t="n">
        <v>420</v>
      </c>
      <c r="B31" t="inlineStr">
        <is>
          <t>Sitahanz Dm</t>
        </is>
      </c>
      <c r="C31" t="inlineStr">
        <is>
          <t>N/A</t>
        </is>
      </c>
      <c r="D31" t="inlineStr"/>
      <c r="E31" t="inlineStr">
        <is>
          <t>N/A</t>
        </is>
      </c>
      <c r="F31" t="inlineStr"/>
      <c r="G31" t="inlineStr">
        <is>
          <t>N/A</t>
        </is>
      </c>
      <c r="H31" t="inlineStr"/>
      <c r="I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0" customWidth="1" min="4" max="4"/>
    <col width="15" customWidth="1" min="5" max="5"/>
    <col width="25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Medicine Name</t>
        </is>
      </c>
      <c r="C1" s="1" t="inlineStr">
        <is>
          <t>Tata 1mg Link</t>
        </is>
      </c>
      <c r="D1" s="1" t="inlineStr">
        <is>
          <t>1mg Correct? (Y/N)</t>
        </is>
      </c>
      <c r="E1" s="1" t="inlineStr">
        <is>
          <t>PharmEasy Link</t>
        </is>
      </c>
      <c r="F1" s="1" t="inlineStr">
        <is>
          <t>PharmEasy Correct? (Y/N)</t>
        </is>
      </c>
      <c r="G1" s="1" t="inlineStr">
        <is>
          <t>Apollo Link</t>
        </is>
      </c>
      <c r="H1" s="1" t="inlineStr">
        <is>
          <t>Apollo Correct? (Y/N)</t>
        </is>
      </c>
      <c r="I1" s="1" t="inlineStr">
        <is>
          <t>Notes/Comments</t>
        </is>
      </c>
    </row>
    <row r="2">
      <c r="A2" t="n">
        <v>421</v>
      </c>
      <c r="B2" t="inlineStr">
        <is>
          <t>Sobicad</t>
        </is>
      </c>
      <c r="C2" t="inlineStr">
        <is>
          <t>N/A</t>
        </is>
      </c>
      <c r="D2" t="inlineStr"/>
      <c r="E2" t="inlineStr">
        <is>
          <t>N/A</t>
        </is>
      </c>
      <c r="F2" t="inlineStr"/>
      <c r="G2" t="inlineStr">
        <is>
          <t>N/A</t>
        </is>
      </c>
      <c r="H2" t="inlineStr"/>
      <c r="I2" t="inlineStr"/>
    </row>
    <row r="3">
      <c r="A3" t="n">
        <v>422</v>
      </c>
      <c r="B3" t="inlineStr">
        <is>
          <t>Sobimed</t>
        </is>
      </c>
      <c r="C3">
        <f>HYPERLINK("https://www.1mg.com/drugs/sobimed-1000-tablet-455539", "Click Here")</f>
        <v/>
      </c>
      <c r="D3" t="inlineStr"/>
      <c r="E3">
        <f>HYPERLINK("https://pharmeasy.in/online-medicine-order/sobimed-500mg-tablet-10-s-227331", "Click Here")</f>
        <v/>
      </c>
      <c r="F3" t="inlineStr"/>
      <c r="G3" t="inlineStr">
        <is>
          <t>N/A</t>
        </is>
      </c>
      <c r="H3" t="inlineStr"/>
      <c r="I3" t="inlineStr"/>
    </row>
    <row r="4">
      <c r="A4" t="n">
        <v>423</v>
      </c>
      <c r="B4" t="inlineStr">
        <is>
          <t>Softee Cream</t>
        </is>
      </c>
      <c r="C4">
        <f>HYPERLINK("https://www.1mg.com/drugs/softee-cream-243025", "Click Here")</f>
        <v/>
      </c>
      <c r="D4" t="inlineStr"/>
      <c r="E4">
        <f>HYPERLINK("https://pharmeasy.in/online-medicine-order/softee-cream-107949", "Click Here")</f>
        <v/>
      </c>
      <c r="F4" t="inlineStr"/>
      <c r="G4" t="inlineStr">
        <is>
          <t>N/A</t>
        </is>
      </c>
      <c r="H4" t="inlineStr"/>
      <c r="I4" t="inlineStr"/>
    </row>
    <row r="5">
      <c r="A5" t="n">
        <v>424</v>
      </c>
      <c r="B5" t="inlineStr">
        <is>
          <t>Telmetin L</t>
        </is>
      </c>
      <c r="C5" t="inlineStr">
        <is>
          <t>N/A</t>
        </is>
      </c>
      <c r="D5" t="inlineStr"/>
      <c r="E5" t="inlineStr">
        <is>
          <t>N/A</t>
        </is>
      </c>
      <c r="F5" t="inlineStr"/>
      <c r="G5" t="inlineStr">
        <is>
          <t>N/A</t>
        </is>
      </c>
      <c r="H5" t="inlineStr"/>
      <c r="I5" t="inlineStr"/>
    </row>
    <row r="6">
      <c r="A6" t="n">
        <v>425</v>
      </c>
      <c r="B6" t="inlineStr">
        <is>
          <t>Ubactin</t>
        </is>
      </c>
      <c r="C6">
        <f>HYPERLINK("https://www.1mg.com/drugs/ubactin-100-tablet-sr-899695", "Click Here")</f>
        <v/>
      </c>
      <c r="D6" t="inlineStr"/>
      <c r="E6" t="inlineStr">
        <is>
          <t>N/A</t>
        </is>
      </c>
      <c r="F6" t="inlineStr"/>
      <c r="G6" t="inlineStr">
        <is>
          <t>N/A</t>
        </is>
      </c>
      <c r="H6" t="inlineStr"/>
      <c r="I6" t="inlineStr"/>
    </row>
    <row r="7">
      <c r="A7" t="n">
        <v>426</v>
      </c>
      <c r="B7" t="inlineStr">
        <is>
          <t>Uniair L</t>
        </is>
      </c>
      <c r="C7">
        <f>HYPERLINK("https://www.1mg.com/drugs/uniair-l-tablet-161116", "Click Here")</f>
        <v/>
      </c>
      <c r="D7" t="inlineStr"/>
      <c r="E7">
        <f>HYPERLINK("https://pharmeasy.in/online-medicine-order/uniair-l-strip-of-10-tablets-178345", "Click Here")</f>
        <v/>
      </c>
      <c r="F7" t="inlineStr"/>
      <c r="G7" t="inlineStr">
        <is>
          <t>N/A</t>
        </is>
      </c>
      <c r="H7" t="inlineStr"/>
      <c r="I7" t="inlineStr"/>
    </row>
    <row r="8">
      <c r="A8" t="n">
        <v>427</v>
      </c>
      <c r="B8" t="inlineStr">
        <is>
          <t>Uti-Cross</t>
        </is>
      </c>
      <c r="C8" t="inlineStr">
        <is>
          <t>N/A</t>
        </is>
      </c>
      <c r="D8" t="inlineStr"/>
      <c r="E8" t="inlineStr">
        <is>
          <t>N/A</t>
        </is>
      </c>
      <c r="F8" t="inlineStr"/>
      <c r="G8" t="inlineStr">
        <is>
          <t>N/A</t>
        </is>
      </c>
      <c r="H8" t="inlineStr"/>
      <c r="I8" t="inlineStr"/>
    </row>
    <row r="9">
      <c r="A9" t="n">
        <v>428</v>
      </c>
      <c r="B9" t="inlineStr">
        <is>
          <t>Ziltin</t>
        </is>
      </c>
      <c r="C9" t="inlineStr">
        <is>
          <t>N/A</t>
        </is>
      </c>
      <c r="D9" t="inlineStr"/>
      <c r="E9" t="inlineStr">
        <is>
          <t>N/A</t>
        </is>
      </c>
      <c r="F9" t="inlineStr"/>
      <c r="G9" t="inlineStr">
        <is>
          <t>N/A</t>
        </is>
      </c>
      <c r="H9" t="inlineStr"/>
      <c r="I9" t="inlineStr"/>
    </row>
    <row r="10">
      <c r="A10" t="n">
        <v>429</v>
      </c>
      <c r="B10" t="inlineStr">
        <is>
          <t>Zithrom</t>
        </is>
      </c>
      <c r="C10" t="inlineStr">
        <is>
          <t>N/A</t>
        </is>
      </c>
      <c r="D10" t="inlineStr"/>
      <c r="E10" t="inlineStr">
        <is>
          <t>N/A</t>
        </is>
      </c>
      <c r="F10" t="inlineStr"/>
      <c r="G10" t="inlineStr">
        <is>
          <t>N/A</t>
        </is>
      </c>
      <c r="H10" t="inlineStr"/>
      <c r="I10" t="inlineStr"/>
    </row>
    <row r="11">
      <c r="A11" t="n">
        <v>430</v>
      </c>
      <c r="B11" t="inlineStr">
        <is>
          <t>Zitlin</t>
        </is>
      </c>
      <c r="C11">
        <f>HYPERLINK("https://www.1mg.com/drugs/zitlin-500-tablet-1106455", "Click Here")</f>
        <v/>
      </c>
      <c r="D11" t="inlineStr"/>
      <c r="E11">
        <f>HYPERLINK("https://pharmeasy.in/online-medicine-order/zitlin-bottle-of-30ml-suspension-4775161", "Click Here")</f>
        <v/>
      </c>
      <c r="F11" t="inlineStr"/>
      <c r="G11" t="inlineStr">
        <is>
          <t>N/A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2026-09-21T17:07:14Z</dcterms:created>
  <dcterms:modified xsi:type="dcterms:W3CDTF">2026-09-21T17:07:14Z</dcterms:modified>
</cp:coreProperties>
</file>